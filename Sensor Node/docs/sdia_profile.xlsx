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chartsheets/sheet7.xml" ContentType="application/vnd.openxmlformats-officedocument.spreadsheetml.chartsheet+xml"/>
  <Override PartName="/xl/worksheets/sheet4.xml" ContentType="application/vnd.openxmlformats-officedocument.spreadsheetml.work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\Documents\capstone\Sensor Node\pcb layout\"/>
    </mc:Choice>
  </mc:AlternateContent>
  <xr:revisionPtr revIDLastSave="0" documentId="13_ncr:1_{04DEACE4-0315-4637-95CF-5D2B6BBC8B23}" xr6:coauthVersionLast="47" xr6:coauthVersionMax="47" xr10:uidLastSave="{00000000-0000-0000-0000-000000000000}"/>
  <bookViews>
    <workbookView xWindow="-108" yWindow="-108" windowWidth="23256" windowHeight="13896" firstSheet="6" activeTab="8" xr2:uid="{F5149266-07BC-4AB4-837F-925A2119B882}"/>
  </bookViews>
  <sheets>
    <sheet name="sdia_profile" sheetId="1" r:id="rId1"/>
    <sheet name="DC Offsets vs. Step" sheetId="2" r:id="rId2"/>
    <sheet name="DC Offsets Error" sheetId="11" r:id="rId3"/>
    <sheet name="Gain Resistance vs. Step" sheetId="3" r:id="rId4"/>
    <sheet name="Gain Resistor Error" sheetId="10" r:id="rId5"/>
    <sheet name="Output Reference DC Offset Volt" sheetId="4" r:id="rId6"/>
    <sheet name="pH_sen_profile" sheetId="5" r:id="rId7"/>
    <sheet name="pH Sensor Characteristic" sheetId="6" r:id="rId8"/>
    <sheet name="RTD_Sen_Profile" sheetId="7" r:id="rId9"/>
    <sheet name="RTD Profile" sheetId="12" r:id="rId10"/>
    <sheet name="Turb_Sen_Profile" sheetId="13" r:id="rId11"/>
    <sheet name="Turbidity_Sen_Profile" sheetId="14" r:id="rId12"/>
    <sheet name="SDIA Testing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13" i="7"/>
  <c r="G2" i="7"/>
  <c r="H2" i="7" s="1"/>
  <c r="I2" i="7" s="1"/>
  <c r="G4" i="7"/>
  <c r="G3" i="7"/>
  <c r="H3" i="7" s="1"/>
  <c r="I3" i="7" s="1"/>
  <c r="D2" i="7"/>
  <c r="D4" i="7"/>
  <c r="D3" i="7"/>
  <c r="H4" i="7"/>
  <c r="I4" i="7" s="1"/>
  <c r="C32" i="8"/>
  <c r="D15" i="8"/>
  <c r="D16" i="8"/>
  <c r="D17" i="8"/>
  <c r="D14" i="8"/>
  <c r="F15" i="8"/>
  <c r="F16" i="8"/>
  <c r="F17" i="8"/>
  <c r="F14" i="8"/>
  <c r="D2" i="8"/>
  <c r="D3" i="8"/>
  <c r="D4" i="8"/>
  <c r="D5" i="8"/>
  <c r="D6" i="8"/>
  <c r="D7" i="8"/>
  <c r="D8" i="8"/>
  <c r="B30" i="8"/>
  <c r="C30" i="8" s="1"/>
  <c r="B31" i="8"/>
  <c r="C31" i="8" s="1"/>
  <c r="B32" i="8"/>
  <c r="B33" i="8"/>
  <c r="C33" i="8" s="1"/>
  <c r="B34" i="8"/>
  <c r="C34" i="8" s="1"/>
  <c r="B35" i="8"/>
  <c r="C35" i="8" s="1"/>
  <c r="B36" i="8"/>
  <c r="C36" i="8" s="1"/>
  <c r="A31" i="8"/>
  <c r="F31" i="8" s="1"/>
  <c r="A32" i="8"/>
  <c r="F32" i="8" s="1"/>
  <c r="A33" i="8"/>
  <c r="F33" i="8" s="1"/>
  <c r="A34" i="8"/>
  <c r="F34" i="8" s="1"/>
  <c r="A35" i="8"/>
  <c r="F35" i="8" s="1"/>
  <c r="A36" i="8"/>
  <c r="F36" i="8" s="1"/>
  <c r="A30" i="8"/>
  <c r="F30" i="8" s="1"/>
  <c r="A21" i="8"/>
  <c r="E21" i="8" s="1"/>
  <c r="F21" i="8" s="1"/>
  <c r="A22" i="8"/>
  <c r="E22" i="8" s="1"/>
  <c r="F22" i="8" s="1"/>
  <c r="A23" i="8"/>
  <c r="E23" i="8" s="1"/>
  <c r="A24" i="8"/>
  <c r="E24" i="8" s="1"/>
  <c r="F24" i="8" s="1"/>
  <c r="A25" i="8"/>
  <c r="E25" i="8" s="1"/>
  <c r="G25" i="8" s="1"/>
  <c r="A26" i="8"/>
  <c r="E26" i="8" s="1"/>
  <c r="G26" i="8" s="1"/>
  <c r="A20" i="8"/>
  <c r="E20" i="8" s="1"/>
  <c r="F20" i="8" s="1"/>
  <c r="D21" i="8"/>
  <c r="D22" i="8"/>
  <c r="D23" i="8"/>
  <c r="D24" i="8"/>
  <c r="D25" i="8"/>
  <c r="D26" i="8"/>
  <c r="D20" i="8"/>
  <c r="F3" i="8"/>
  <c r="F4" i="8"/>
  <c r="F5" i="8"/>
  <c r="F6" i="8"/>
  <c r="F7" i="8"/>
  <c r="F8" i="8"/>
  <c r="F2" i="8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" i="1"/>
  <c r="F4" i="7"/>
  <c r="C4" i="7"/>
  <c r="F2" i="7"/>
  <c r="F3" i="7"/>
  <c r="C2" i="7"/>
  <c r="C3" i="7"/>
  <c r="F23" i="8" l="1"/>
  <c r="G23" i="8"/>
  <c r="G24" i="8"/>
  <c r="G22" i="8"/>
  <c r="F26" i="8"/>
  <c r="G21" i="8"/>
  <c r="F25" i="8"/>
  <c r="G20" i="8"/>
  <c r="D30" i="8"/>
  <c r="D35" i="8"/>
  <c r="D34" i="8"/>
  <c r="D32" i="8"/>
  <c r="D31" i="8"/>
  <c r="D36" i="8"/>
  <c r="D33" i="8"/>
</calcChain>
</file>

<file path=xl/sharedStrings.xml><?xml version="1.0" encoding="utf-8"?>
<sst xmlns="http://schemas.openxmlformats.org/spreadsheetml/2006/main" count="64" uniqueCount="49">
  <si>
    <t>Step</t>
  </si>
  <si>
    <t xml:space="preserve"> DC+</t>
  </si>
  <si>
    <t xml:space="preserve"> DC-</t>
  </si>
  <si>
    <t xml:space="preserve"> Ref+</t>
  </si>
  <si>
    <t xml:space="preserve"> Ref-</t>
  </si>
  <si>
    <t xml:space="preserve"> Gain Resistor Bottom</t>
  </si>
  <si>
    <t xml:space="preserve"> Gain Resisor Top</t>
  </si>
  <si>
    <t>pH</t>
  </si>
  <si>
    <t>Measured Voltage</t>
  </si>
  <si>
    <t>Measured Voltage (pH Sensor Preamp)</t>
  </si>
  <si>
    <t>Actual Temperature</t>
  </si>
  <si>
    <t>RTD Temperature</t>
  </si>
  <si>
    <t>A</t>
  </si>
  <si>
    <t>B</t>
  </si>
  <si>
    <t>Theoretical Voltage</t>
  </si>
  <si>
    <t>deltaV</t>
  </si>
  <si>
    <t>Gain Resistance (Theoretical)</t>
  </si>
  <si>
    <t>% Difference, Between Gain Resistors</t>
  </si>
  <si>
    <t>% Error, Gain Resistor 1</t>
  </si>
  <si>
    <t>% Error, Gain Resistor 2</t>
  </si>
  <si>
    <t>DC Offset, Ideal</t>
  </si>
  <si>
    <t>% Error, DC+</t>
  </si>
  <si>
    <t>% Error, DC-</t>
  </si>
  <si>
    <t>% Difference, DC+ to DC-</t>
  </si>
  <si>
    <t>% Error</t>
  </si>
  <si>
    <t>% Error, w.r.t. Actual</t>
  </si>
  <si>
    <t>Software-Selected Gain</t>
  </si>
  <si>
    <t>Software-Selected DC Offset</t>
  </si>
  <si>
    <t>Theoretical ADC Voltage</t>
  </si>
  <si>
    <t>Input Voltage</t>
  </si>
  <si>
    <t>Measured ADC Voltage</t>
  </si>
  <si>
    <t>Software-Estimated Actual Input Voltage</t>
  </si>
  <si>
    <t>Actual ADC Voltage</t>
  </si>
  <si>
    <t>N/A</t>
  </si>
  <si>
    <t>Actual Gain, Assuming Ideal Pots</t>
  </si>
  <si>
    <t>Actual DC Input Offset, Assuming Ideal Pots</t>
  </si>
  <si>
    <t>% Error, w.r.t. Theoretical</t>
  </si>
  <si>
    <t>% Difference, Measured vs. Idealized</t>
  </si>
  <si>
    <t>Calculated Input Voltage, Assuming Ideal Pots</t>
  </si>
  <si>
    <t>Ideal Gain</t>
  </si>
  <si>
    <t>Ideal DC Offset</t>
  </si>
  <si>
    <t>ADC Voltage, Assuming Ideal Pot</t>
  </si>
  <si>
    <t>Adj. Voltage</t>
  </si>
  <si>
    <t>Adj. Temp</t>
  </si>
  <si>
    <t>Adj</t>
  </si>
  <si>
    <t>Actual Turbidity</t>
  </si>
  <si>
    <t>Sensor Voltage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</si>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</sst>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ill="1" applyBorder="1"/>
    <xf numFmtId="0" fontId="0" fillId="34" borderId="14" xfId="0" applyFill="1" applyBorder="1"/>
    <xf numFmtId="10" fontId="0" fillId="34" borderId="14" xfId="0" applyNumberFormat="1" applyFill="1" applyBorder="1"/>
    <xf numFmtId="0" fontId="0" fillId="34" borderId="14" xfId="0" applyFill="1" applyBorder="1" applyAlignment="1">
      <alignment horizontal="center"/>
    </xf>
    <xf numFmtId="10" fontId="0" fillId="34" borderId="15" xfId="0" applyNumberForma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0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4" borderId="15" xfId="0" applyFill="1" applyBorder="1" applyAlignment="1">
      <alignment horizontal="center"/>
    </xf>
    <xf numFmtId="10" fontId="0" fillId="0" borderId="15" xfId="0" applyNumberFormat="1" applyBorder="1"/>
    <xf numFmtId="10" fontId="0" fillId="34" borderId="15" xfId="0" applyNumberFormat="1" applyFill="1" applyBorder="1"/>
    <xf numFmtId="10" fontId="0" fillId="34" borderId="11" xfId="0" applyNumberFormat="1" applyFill="1" applyBorder="1"/>
    <xf numFmtId="10" fontId="0" fillId="34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5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2.xml"/><Relationship Id="rId12" Type="http://schemas.openxmlformats.org/officeDocument/2006/relationships/chartsheet" Target="chartsheets/sheet8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4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7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DC Offsets vs.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 </c:f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sdia_profile!$B$2:$B$258</c:f>
              <c:numCache>
                <c:formatCode>General</c:formatCode>
                <c:ptCount val="257"/>
                <c:pt idx="0">
                  <c:v>2.5119999999999999E-3</c:v>
                </c:pt>
                <c:pt idx="1">
                  <c:v>2.2516000000000001E-2</c:v>
                </c:pt>
                <c:pt idx="2">
                  <c:v>4.2742000000000002E-2</c:v>
                </c:pt>
                <c:pt idx="3">
                  <c:v>6.2525999999999998E-2</c:v>
                </c:pt>
                <c:pt idx="4">
                  <c:v>8.2707000000000003E-2</c:v>
                </c:pt>
                <c:pt idx="5">
                  <c:v>0.102712</c:v>
                </c:pt>
                <c:pt idx="6">
                  <c:v>0.122849</c:v>
                </c:pt>
                <c:pt idx="7">
                  <c:v>0.142766</c:v>
                </c:pt>
                <c:pt idx="8">
                  <c:v>0.16215299999999999</c:v>
                </c:pt>
                <c:pt idx="9">
                  <c:v>0.18229000000000001</c:v>
                </c:pt>
                <c:pt idx="10">
                  <c:v>0.202207</c:v>
                </c:pt>
                <c:pt idx="11">
                  <c:v>0.22221199999999999</c:v>
                </c:pt>
                <c:pt idx="12">
                  <c:v>0.24234900000000001</c:v>
                </c:pt>
                <c:pt idx="13">
                  <c:v>0.262266</c:v>
                </c:pt>
                <c:pt idx="14">
                  <c:v>0.28235900000000003</c:v>
                </c:pt>
                <c:pt idx="15">
                  <c:v>0.30240699999999998</c:v>
                </c:pt>
                <c:pt idx="16">
                  <c:v>0.322544</c:v>
                </c:pt>
                <c:pt idx="17">
                  <c:v>0.34246100000000002</c:v>
                </c:pt>
                <c:pt idx="18">
                  <c:v>0.36246600000000001</c:v>
                </c:pt>
                <c:pt idx="19">
                  <c:v>0.38242700000000002</c:v>
                </c:pt>
                <c:pt idx="20">
                  <c:v>0.40260800000000002</c:v>
                </c:pt>
                <c:pt idx="21">
                  <c:v>0.42243599999999998</c:v>
                </c:pt>
                <c:pt idx="22">
                  <c:v>0.44244099999999997</c:v>
                </c:pt>
                <c:pt idx="23">
                  <c:v>0.46257799999999999</c:v>
                </c:pt>
                <c:pt idx="24">
                  <c:v>0.48245100000000002</c:v>
                </c:pt>
                <c:pt idx="25">
                  <c:v>0.50219100000000005</c:v>
                </c:pt>
                <c:pt idx="26">
                  <c:v>0.52224000000000004</c:v>
                </c:pt>
                <c:pt idx="27">
                  <c:v>0.54224499999999998</c:v>
                </c:pt>
                <c:pt idx="28">
                  <c:v>0.56242599999999998</c:v>
                </c:pt>
                <c:pt idx="29">
                  <c:v>0.58234200000000003</c:v>
                </c:pt>
                <c:pt idx="30">
                  <c:v>0.60230300000000003</c:v>
                </c:pt>
                <c:pt idx="31">
                  <c:v>0.62226400000000004</c:v>
                </c:pt>
                <c:pt idx="32">
                  <c:v>0.64323799999999998</c:v>
                </c:pt>
                <c:pt idx="33">
                  <c:v>0.66337500000000005</c:v>
                </c:pt>
                <c:pt idx="34">
                  <c:v>0.68329200000000001</c:v>
                </c:pt>
                <c:pt idx="35">
                  <c:v>0.70325199999999999</c:v>
                </c:pt>
                <c:pt idx="36">
                  <c:v>0.72330099999999997</c:v>
                </c:pt>
                <c:pt idx="37">
                  <c:v>0.743394</c:v>
                </c:pt>
                <c:pt idx="38">
                  <c:v>0.76326700000000003</c:v>
                </c:pt>
                <c:pt idx="39">
                  <c:v>0.78300700000000001</c:v>
                </c:pt>
                <c:pt idx="40">
                  <c:v>0.80627300000000002</c:v>
                </c:pt>
                <c:pt idx="41">
                  <c:v>0.82640999999999998</c:v>
                </c:pt>
                <c:pt idx="42">
                  <c:v>0.84632600000000002</c:v>
                </c:pt>
                <c:pt idx="43">
                  <c:v>0.86637500000000001</c:v>
                </c:pt>
                <c:pt idx="44">
                  <c:v>0.88624800000000004</c:v>
                </c:pt>
                <c:pt idx="45">
                  <c:v>0.906165</c:v>
                </c:pt>
                <c:pt idx="46">
                  <c:v>0.92599299999999996</c:v>
                </c:pt>
                <c:pt idx="47">
                  <c:v>0.94613000000000003</c:v>
                </c:pt>
                <c:pt idx="48">
                  <c:v>0.96745700000000001</c:v>
                </c:pt>
                <c:pt idx="49">
                  <c:v>0.98715299999999995</c:v>
                </c:pt>
                <c:pt idx="50">
                  <c:v>1.007334</c:v>
                </c:pt>
                <c:pt idx="51">
                  <c:v>1.027163</c:v>
                </c:pt>
                <c:pt idx="52">
                  <c:v>1.047388</c:v>
                </c:pt>
                <c:pt idx="53">
                  <c:v>1.06704</c:v>
                </c:pt>
                <c:pt idx="54">
                  <c:v>1.087089</c:v>
                </c:pt>
                <c:pt idx="55">
                  <c:v>1.1073139999999999</c:v>
                </c:pt>
                <c:pt idx="56">
                  <c:v>1.129302</c:v>
                </c:pt>
                <c:pt idx="57">
                  <c:v>1.1494390000000001</c:v>
                </c:pt>
                <c:pt idx="58">
                  <c:v>1.169311</c:v>
                </c:pt>
                <c:pt idx="59">
                  <c:v>1.189228</c:v>
                </c:pt>
                <c:pt idx="60">
                  <c:v>1.2092769999999999</c:v>
                </c:pt>
                <c:pt idx="61">
                  <c:v>1.2291939999999999</c:v>
                </c:pt>
                <c:pt idx="62">
                  <c:v>1.249287</c:v>
                </c:pt>
                <c:pt idx="63">
                  <c:v>1.2692909999999999</c:v>
                </c:pt>
                <c:pt idx="64">
                  <c:v>1.291191</c:v>
                </c:pt>
                <c:pt idx="65">
                  <c:v>1.3111079999999999</c:v>
                </c:pt>
                <c:pt idx="66">
                  <c:v>1.331024</c:v>
                </c:pt>
                <c:pt idx="67">
                  <c:v>1.3511169999999999</c:v>
                </c:pt>
                <c:pt idx="68">
                  <c:v>1.371122</c:v>
                </c:pt>
                <c:pt idx="69">
                  <c:v>1.390906</c:v>
                </c:pt>
                <c:pt idx="70">
                  <c:v>1.4106030000000001</c:v>
                </c:pt>
                <c:pt idx="71">
                  <c:v>1.4306080000000001</c:v>
                </c:pt>
                <c:pt idx="72">
                  <c:v>1.451141</c:v>
                </c:pt>
                <c:pt idx="73">
                  <c:v>1.470882</c:v>
                </c:pt>
                <c:pt idx="74">
                  <c:v>1.4909300000000001</c:v>
                </c:pt>
                <c:pt idx="75">
                  <c:v>1.510891</c:v>
                </c:pt>
                <c:pt idx="76">
                  <c:v>1.5311159999999999</c:v>
                </c:pt>
                <c:pt idx="77">
                  <c:v>1.5507690000000001</c:v>
                </c:pt>
                <c:pt idx="78">
                  <c:v>1.5709059999999999</c:v>
                </c:pt>
                <c:pt idx="79">
                  <c:v>1.590646</c:v>
                </c:pt>
                <c:pt idx="80">
                  <c:v>1.610298</c:v>
                </c:pt>
                <c:pt idx="81">
                  <c:v>1.6302589999999999</c:v>
                </c:pt>
                <c:pt idx="82">
                  <c:v>1.6501760000000001</c:v>
                </c:pt>
                <c:pt idx="83">
                  <c:v>1.6700919999999999</c:v>
                </c:pt>
                <c:pt idx="84">
                  <c:v>1.690097</c:v>
                </c:pt>
                <c:pt idx="85">
                  <c:v>1.7101900000000001</c:v>
                </c:pt>
                <c:pt idx="86">
                  <c:v>1.729886</c:v>
                </c:pt>
                <c:pt idx="87">
                  <c:v>1.749803</c:v>
                </c:pt>
                <c:pt idx="88">
                  <c:v>1.7688390000000001</c:v>
                </c:pt>
                <c:pt idx="89">
                  <c:v>1.788799</c:v>
                </c:pt>
                <c:pt idx="90">
                  <c:v>1.8088040000000001</c:v>
                </c:pt>
                <c:pt idx="91">
                  <c:v>1.828721</c:v>
                </c:pt>
                <c:pt idx="92">
                  <c:v>1.8485050000000001</c:v>
                </c:pt>
                <c:pt idx="93">
                  <c:v>1.868466</c:v>
                </c:pt>
                <c:pt idx="94">
                  <c:v>1.888603</c:v>
                </c:pt>
                <c:pt idx="95">
                  <c:v>1.9085639999999999</c:v>
                </c:pt>
                <c:pt idx="96">
                  <c:v>1.931873</c:v>
                </c:pt>
                <c:pt idx="97">
                  <c:v>1.951702</c:v>
                </c:pt>
                <c:pt idx="98">
                  <c:v>1.97153</c:v>
                </c:pt>
                <c:pt idx="99">
                  <c:v>1.9915350000000001</c:v>
                </c:pt>
                <c:pt idx="100">
                  <c:v>2.0114960000000002</c:v>
                </c:pt>
                <c:pt idx="101">
                  <c:v>2.0316329999999998</c:v>
                </c:pt>
                <c:pt idx="102">
                  <c:v>2.051329</c:v>
                </c:pt>
                <c:pt idx="103">
                  <c:v>2.0716429999999999</c:v>
                </c:pt>
                <c:pt idx="104">
                  <c:v>2.0912510000000002</c:v>
                </c:pt>
                <c:pt idx="105">
                  <c:v>2.111167</c:v>
                </c:pt>
                <c:pt idx="106">
                  <c:v>2.1309079999999998</c:v>
                </c:pt>
                <c:pt idx="107">
                  <c:v>2.1509130000000001</c:v>
                </c:pt>
                <c:pt idx="108">
                  <c:v>2.1709170000000002</c:v>
                </c:pt>
                <c:pt idx="109">
                  <c:v>2.1907899999999998</c:v>
                </c:pt>
                <c:pt idx="110">
                  <c:v>2.2106629999999998</c:v>
                </c:pt>
                <c:pt idx="111">
                  <c:v>2.2307999999999999</c:v>
                </c:pt>
                <c:pt idx="112">
                  <c:v>2.2531400000000001</c:v>
                </c:pt>
                <c:pt idx="113">
                  <c:v>2.2729240000000002</c:v>
                </c:pt>
                <c:pt idx="114">
                  <c:v>2.2929729999999999</c:v>
                </c:pt>
                <c:pt idx="115">
                  <c:v>2.3126699999999998</c:v>
                </c:pt>
                <c:pt idx="116">
                  <c:v>2.3324980000000002</c:v>
                </c:pt>
                <c:pt idx="117">
                  <c:v>2.352503</c:v>
                </c:pt>
                <c:pt idx="118">
                  <c:v>2.3724639999999999</c:v>
                </c:pt>
                <c:pt idx="119">
                  <c:v>2.3927330000000002</c:v>
                </c:pt>
                <c:pt idx="120">
                  <c:v>2.4139270000000002</c:v>
                </c:pt>
                <c:pt idx="121">
                  <c:v>2.4340639999999998</c:v>
                </c:pt>
                <c:pt idx="122">
                  <c:v>2.4538929999999999</c:v>
                </c:pt>
                <c:pt idx="123">
                  <c:v>2.47403</c:v>
                </c:pt>
                <c:pt idx="124">
                  <c:v>2.4939019999999998</c:v>
                </c:pt>
                <c:pt idx="125">
                  <c:v>2.5137309999999999</c:v>
                </c:pt>
                <c:pt idx="126">
                  <c:v>2.5336479999999999</c:v>
                </c:pt>
                <c:pt idx="127">
                  <c:v>2.5535199999999998</c:v>
                </c:pt>
                <c:pt idx="128">
                  <c:v>2.5738340000000002</c:v>
                </c:pt>
                <c:pt idx="129">
                  <c:v>2.59375</c:v>
                </c:pt>
                <c:pt idx="130">
                  <c:v>2.6138870000000001</c:v>
                </c:pt>
                <c:pt idx="131">
                  <c:v>2.6336279999999999</c:v>
                </c:pt>
                <c:pt idx="132">
                  <c:v>2.653721</c:v>
                </c:pt>
                <c:pt idx="133">
                  <c:v>2.6734610000000001</c:v>
                </c:pt>
                <c:pt idx="134">
                  <c:v>2.693422</c:v>
                </c:pt>
                <c:pt idx="135">
                  <c:v>2.7134710000000002</c:v>
                </c:pt>
                <c:pt idx="136">
                  <c:v>2.7318009999999999</c:v>
                </c:pt>
                <c:pt idx="137">
                  <c:v>2.7514090000000002</c:v>
                </c:pt>
                <c:pt idx="138">
                  <c:v>2.7712819999999998</c:v>
                </c:pt>
                <c:pt idx="139">
                  <c:v>2.7914629999999998</c:v>
                </c:pt>
                <c:pt idx="140">
                  <c:v>2.811159</c:v>
                </c:pt>
                <c:pt idx="141">
                  <c:v>2.8311199999999999</c:v>
                </c:pt>
                <c:pt idx="142">
                  <c:v>2.8510810000000002</c:v>
                </c:pt>
                <c:pt idx="143">
                  <c:v>2.8713060000000001</c:v>
                </c:pt>
                <c:pt idx="144">
                  <c:v>2.8919269999999999</c:v>
                </c:pt>
                <c:pt idx="145">
                  <c:v>2.9116680000000001</c:v>
                </c:pt>
                <c:pt idx="146">
                  <c:v>2.9317169999999999</c:v>
                </c:pt>
                <c:pt idx="147">
                  <c:v>2.9516330000000002</c:v>
                </c:pt>
                <c:pt idx="148">
                  <c:v>2.9716819999999999</c:v>
                </c:pt>
                <c:pt idx="149">
                  <c:v>2.991555</c:v>
                </c:pt>
                <c:pt idx="150">
                  <c:v>3.0115159999999999</c:v>
                </c:pt>
                <c:pt idx="151">
                  <c:v>3.0314320000000001</c:v>
                </c:pt>
                <c:pt idx="152">
                  <c:v>3.053728</c:v>
                </c:pt>
                <c:pt idx="153">
                  <c:v>3.0735570000000001</c:v>
                </c:pt>
                <c:pt idx="154">
                  <c:v>3.0933860000000002</c:v>
                </c:pt>
                <c:pt idx="155">
                  <c:v>3.113302</c:v>
                </c:pt>
                <c:pt idx="156">
                  <c:v>3.1331310000000001</c:v>
                </c:pt>
                <c:pt idx="157">
                  <c:v>3.1534</c:v>
                </c:pt>
                <c:pt idx="158">
                  <c:v>3.173184</c:v>
                </c:pt>
                <c:pt idx="159">
                  <c:v>3.1930130000000001</c:v>
                </c:pt>
                <c:pt idx="160">
                  <c:v>3.2128410000000001</c:v>
                </c:pt>
                <c:pt idx="161">
                  <c:v>3.232758</c:v>
                </c:pt>
                <c:pt idx="162">
                  <c:v>3.252939</c:v>
                </c:pt>
                <c:pt idx="163">
                  <c:v>3.2727240000000002</c:v>
                </c:pt>
                <c:pt idx="164">
                  <c:v>3.2927729999999999</c:v>
                </c:pt>
                <c:pt idx="165">
                  <c:v>3.3126449999999998</c:v>
                </c:pt>
                <c:pt idx="166">
                  <c:v>3.332694</c:v>
                </c:pt>
                <c:pt idx="167">
                  <c:v>3.3526549999999999</c:v>
                </c:pt>
                <c:pt idx="168">
                  <c:v>3.3738489999999999</c:v>
                </c:pt>
                <c:pt idx="169">
                  <c:v>3.3941180000000002</c:v>
                </c:pt>
                <c:pt idx="170">
                  <c:v>3.414167</c:v>
                </c:pt>
                <c:pt idx="171">
                  <c:v>3.433996</c:v>
                </c:pt>
                <c:pt idx="172">
                  <c:v>3.4538679999999999</c:v>
                </c:pt>
                <c:pt idx="173">
                  <c:v>3.4738289999999998</c:v>
                </c:pt>
                <c:pt idx="174">
                  <c:v>3.4936579999999999</c:v>
                </c:pt>
                <c:pt idx="175">
                  <c:v>3.513795</c:v>
                </c:pt>
                <c:pt idx="176">
                  <c:v>3.5351659999999998</c:v>
                </c:pt>
                <c:pt idx="177">
                  <c:v>3.555126</c:v>
                </c:pt>
                <c:pt idx="178">
                  <c:v>3.575043</c:v>
                </c:pt>
                <c:pt idx="179">
                  <c:v>3.5950039999999999</c:v>
                </c:pt>
                <c:pt idx="180">
                  <c:v>3.6150530000000001</c:v>
                </c:pt>
                <c:pt idx="181">
                  <c:v>3.6348370000000001</c:v>
                </c:pt>
                <c:pt idx="182">
                  <c:v>3.6548419999999999</c:v>
                </c:pt>
                <c:pt idx="183">
                  <c:v>3.6748910000000001</c:v>
                </c:pt>
                <c:pt idx="184">
                  <c:v>3.6963059999999999</c:v>
                </c:pt>
                <c:pt idx="185">
                  <c:v>3.7162660000000001</c:v>
                </c:pt>
                <c:pt idx="186">
                  <c:v>3.7360509999999998</c:v>
                </c:pt>
                <c:pt idx="187">
                  <c:v>3.7562319999999998</c:v>
                </c:pt>
                <c:pt idx="188">
                  <c:v>3.7761040000000001</c:v>
                </c:pt>
                <c:pt idx="189">
                  <c:v>3.7962410000000002</c:v>
                </c:pt>
                <c:pt idx="190">
                  <c:v>3.8161580000000002</c:v>
                </c:pt>
                <c:pt idx="191">
                  <c:v>3.8361190000000001</c:v>
                </c:pt>
                <c:pt idx="192">
                  <c:v>3.8575339999999998</c:v>
                </c:pt>
                <c:pt idx="193">
                  <c:v>3.877494</c:v>
                </c:pt>
                <c:pt idx="194">
                  <c:v>3.8975430000000002</c:v>
                </c:pt>
                <c:pt idx="195">
                  <c:v>3.9174600000000002</c:v>
                </c:pt>
                <c:pt idx="196">
                  <c:v>3.9373330000000002</c:v>
                </c:pt>
                <c:pt idx="197">
                  <c:v>3.9575580000000001</c:v>
                </c:pt>
                <c:pt idx="198">
                  <c:v>3.9775619999999998</c:v>
                </c:pt>
                <c:pt idx="199">
                  <c:v>3.997744</c:v>
                </c:pt>
                <c:pt idx="200">
                  <c:v>4.018497</c:v>
                </c:pt>
                <c:pt idx="201">
                  <c:v>4.0384140000000004</c:v>
                </c:pt>
                <c:pt idx="202">
                  <c:v>4.0585069999999996</c:v>
                </c:pt>
                <c:pt idx="203">
                  <c:v>4.078424</c:v>
                </c:pt>
                <c:pt idx="204">
                  <c:v>4.0982960000000004</c:v>
                </c:pt>
                <c:pt idx="205">
                  <c:v>4.1183009999999998</c:v>
                </c:pt>
                <c:pt idx="206">
                  <c:v>4.138306</c:v>
                </c:pt>
                <c:pt idx="207">
                  <c:v>4.1585749999999999</c:v>
                </c:pt>
                <c:pt idx="208">
                  <c:v>4.1799900000000001</c:v>
                </c:pt>
                <c:pt idx="209">
                  <c:v>4.2000830000000002</c:v>
                </c:pt>
                <c:pt idx="210">
                  <c:v>4.2200879999999996</c:v>
                </c:pt>
                <c:pt idx="211">
                  <c:v>4.2402249999999997</c:v>
                </c:pt>
                <c:pt idx="212">
                  <c:v>4.260141</c:v>
                </c:pt>
                <c:pt idx="213">
                  <c:v>4.2801460000000002</c:v>
                </c:pt>
                <c:pt idx="214">
                  <c:v>4.3002830000000003</c:v>
                </c:pt>
                <c:pt idx="215">
                  <c:v>4.3203760000000004</c:v>
                </c:pt>
                <c:pt idx="216">
                  <c:v>4.3412179999999996</c:v>
                </c:pt>
                <c:pt idx="217">
                  <c:v>4.3610910000000001</c:v>
                </c:pt>
                <c:pt idx="218">
                  <c:v>4.3810070000000003</c:v>
                </c:pt>
                <c:pt idx="219">
                  <c:v>4.4012320000000003</c:v>
                </c:pt>
                <c:pt idx="220">
                  <c:v>4.4212369999999996</c:v>
                </c:pt>
                <c:pt idx="221">
                  <c:v>4.4413739999999997</c:v>
                </c:pt>
                <c:pt idx="222">
                  <c:v>4.4611590000000003</c:v>
                </c:pt>
                <c:pt idx="223">
                  <c:v>4.4812079999999996</c:v>
                </c:pt>
                <c:pt idx="224">
                  <c:v>4.5019169999999997</c:v>
                </c:pt>
                <c:pt idx="225">
                  <c:v>4.5220539999999998</c:v>
                </c:pt>
                <c:pt idx="226">
                  <c:v>4.5421469999999999</c:v>
                </c:pt>
                <c:pt idx="227">
                  <c:v>4.5620640000000003</c:v>
                </c:pt>
                <c:pt idx="228">
                  <c:v>4.5821569999999996</c:v>
                </c:pt>
                <c:pt idx="229">
                  <c:v>4.6022939999999997</c:v>
                </c:pt>
                <c:pt idx="230">
                  <c:v>4.6224309999999997</c:v>
                </c:pt>
                <c:pt idx="231">
                  <c:v>4.6423030000000001</c:v>
                </c:pt>
                <c:pt idx="232">
                  <c:v>4.6635859999999996</c:v>
                </c:pt>
                <c:pt idx="233">
                  <c:v>4.6837669999999996</c:v>
                </c:pt>
                <c:pt idx="234">
                  <c:v>4.7038159999999998</c:v>
                </c:pt>
                <c:pt idx="235">
                  <c:v>4.723865</c:v>
                </c:pt>
                <c:pt idx="236">
                  <c:v>4.7437820000000004</c:v>
                </c:pt>
                <c:pt idx="237">
                  <c:v>4.7640070000000003</c:v>
                </c:pt>
                <c:pt idx="238">
                  <c:v>4.7842760000000002</c:v>
                </c:pt>
                <c:pt idx="239">
                  <c:v>4.8043250000000004</c:v>
                </c:pt>
                <c:pt idx="240">
                  <c:v>4.8239330000000002</c:v>
                </c:pt>
                <c:pt idx="241">
                  <c:v>4.8439819999999996</c:v>
                </c:pt>
                <c:pt idx="242">
                  <c:v>4.8640309999999998</c:v>
                </c:pt>
                <c:pt idx="243">
                  <c:v>4.8841239999999999</c:v>
                </c:pt>
                <c:pt idx="244">
                  <c:v>4.9040400000000002</c:v>
                </c:pt>
                <c:pt idx="245">
                  <c:v>4.9242650000000001</c:v>
                </c:pt>
                <c:pt idx="246">
                  <c:v>4.9443580000000003</c:v>
                </c:pt>
                <c:pt idx="247">
                  <c:v>4.9647160000000001</c:v>
                </c:pt>
                <c:pt idx="248">
                  <c:v>4.9864829999999998</c:v>
                </c:pt>
                <c:pt idx="249">
                  <c:v>5.0066639999999998</c:v>
                </c:pt>
                <c:pt idx="250">
                  <c:v>5.0265810000000002</c:v>
                </c:pt>
                <c:pt idx="251">
                  <c:v>5.0464529999999996</c:v>
                </c:pt>
                <c:pt idx="252">
                  <c:v>5.0668110000000004</c:v>
                </c:pt>
                <c:pt idx="253">
                  <c:v>5.0869479999999996</c:v>
                </c:pt>
                <c:pt idx="254">
                  <c:v>5.1071289999999996</c:v>
                </c:pt>
                <c:pt idx="255">
                  <c:v>5.1272659999999997</c:v>
                </c:pt>
                <c:pt idx="256">
                  <c:v>5.1474469999999997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4-4706-B493-C6A961F25995}"/>
            </c:ext>
          </c:extLst>
        </c:ser>
        <c:ser>
          <c:idx val="1"/>
          <c:order val="1"/>
          <c:tx>
            <c:strRef>
              <c:f> </c:f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sdia_profile!$C$2:$C$258</c:f>
              <c:numCache>
                <c:formatCode>General</c:formatCode>
                <c:ptCount val="257"/>
                <c:pt idx="0">
                  <c:v>0</c:v>
                </c:pt>
                <c:pt idx="1">
                  <c:v>1.9696000000000002E-2</c:v>
                </c:pt>
                <c:pt idx="2">
                  <c:v>3.9613000000000002E-2</c:v>
                </c:pt>
                <c:pt idx="3">
                  <c:v>5.9662E-2</c:v>
                </c:pt>
                <c:pt idx="4">
                  <c:v>7.9578999999999997E-2</c:v>
                </c:pt>
                <c:pt idx="5">
                  <c:v>9.9539000000000002E-2</c:v>
                </c:pt>
                <c:pt idx="6">
                  <c:v>0.11945600000000001</c:v>
                </c:pt>
                <c:pt idx="7">
                  <c:v>0.139373</c:v>
                </c:pt>
                <c:pt idx="8">
                  <c:v>0.159774</c:v>
                </c:pt>
                <c:pt idx="9">
                  <c:v>0.17982300000000001</c:v>
                </c:pt>
                <c:pt idx="10">
                  <c:v>0.19978399999999999</c:v>
                </c:pt>
                <c:pt idx="11">
                  <c:v>0.21974399999999999</c:v>
                </c:pt>
                <c:pt idx="12">
                  <c:v>0.239485</c:v>
                </c:pt>
                <c:pt idx="13">
                  <c:v>0.25944600000000001</c:v>
                </c:pt>
                <c:pt idx="14">
                  <c:v>0.27953800000000001</c:v>
                </c:pt>
                <c:pt idx="15">
                  <c:v>0.29941099999999998</c:v>
                </c:pt>
                <c:pt idx="16">
                  <c:v>0.319548</c:v>
                </c:pt>
                <c:pt idx="17">
                  <c:v>0.33955299999999999</c:v>
                </c:pt>
                <c:pt idx="18">
                  <c:v>0.359514</c:v>
                </c:pt>
                <c:pt idx="19">
                  <c:v>0.37929800000000002</c:v>
                </c:pt>
                <c:pt idx="20">
                  <c:v>0.399391</c:v>
                </c:pt>
                <c:pt idx="21">
                  <c:v>0.41917500000000002</c:v>
                </c:pt>
                <c:pt idx="22">
                  <c:v>0.43926799999999999</c:v>
                </c:pt>
                <c:pt idx="23">
                  <c:v>0.45914100000000002</c:v>
                </c:pt>
                <c:pt idx="24">
                  <c:v>0.47857300000000003</c:v>
                </c:pt>
                <c:pt idx="25">
                  <c:v>0.498137</c:v>
                </c:pt>
                <c:pt idx="26">
                  <c:v>0.51805400000000001</c:v>
                </c:pt>
                <c:pt idx="27">
                  <c:v>0.53797099999999998</c:v>
                </c:pt>
                <c:pt idx="28">
                  <c:v>0.55788700000000002</c:v>
                </c:pt>
                <c:pt idx="29">
                  <c:v>0.57780399999999998</c:v>
                </c:pt>
                <c:pt idx="30">
                  <c:v>0.59772099999999995</c:v>
                </c:pt>
                <c:pt idx="31">
                  <c:v>0.61759299999999995</c:v>
                </c:pt>
                <c:pt idx="32">
                  <c:v>0.63825900000000002</c:v>
                </c:pt>
                <c:pt idx="33">
                  <c:v>0.65813200000000005</c:v>
                </c:pt>
                <c:pt idx="34">
                  <c:v>0.67791599999999996</c:v>
                </c:pt>
                <c:pt idx="35">
                  <c:v>0.69769999999999999</c:v>
                </c:pt>
                <c:pt idx="36">
                  <c:v>0.71766099999999999</c:v>
                </c:pt>
                <c:pt idx="37">
                  <c:v>0.73748999999999998</c:v>
                </c:pt>
                <c:pt idx="38">
                  <c:v>0.75744999999999996</c:v>
                </c:pt>
                <c:pt idx="39">
                  <c:v>0.77732299999999999</c:v>
                </c:pt>
                <c:pt idx="40">
                  <c:v>0.79781299999999999</c:v>
                </c:pt>
                <c:pt idx="41">
                  <c:v>0.81772900000000004</c:v>
                </c:pt>
                <c:pt idx="42">
                  <c:v>0.83751399999999998</c:v>
                </c:pt>
                <c:pt idx="43">
                  <c:v>0.85712200000000005</c:v>
                </c:pt>
                <c:pt idx="44">
                  <c:v>0.87721499999999997</c:v>
                </c:pt>
                <c:pt idx="45">
                  <c:v>0.89717599999999997</c:v>
                </c:pt>
                <c:pt idx="46">
                  <c:v>0.91700400000000004</c:v>
                </c:pt>
                <c:pt idx="47">
                  <c:v>0.93674500000000005</c:v>
                </c:pt>
                <c:pt idx="48">
                  <c:v>0.95749799999999996</c:v>
                </c:pt>
                <c:pt idx="49">
                  <c:v>0.97741500000000003</c:v>
                </c:pt>
                <c:pt idx="50">
                  <c:v>0.99737600000000004</c:v>
                </c:pt>
                <c:pt idx="51">
                  <c:v>1.017072</c:v>
                </c:pt>
                <c:pt idx="52">
                  <c:v>1.0369010000000001</c:v>
                </c:pt>
                <c:pt idx="53">
                  <c:v>1.0566409999999999</c:v>
                </c:pt>
                <c:pt idx="54">
                  <c:v>1.0767340000000001</c:v>
                </c:pt>
                <c:pt idx="55">
                  <c:v>1.096563</c:v>
                </c:pt>
                <c:pt idx="56">
                  <c:v>1.1173169999999999</c:v>
                </c:pt>
                <c:pt idx="57">
                  <c:v>1.1370130000000001</c:v>
                </c:pt>
                <c:pt idx="58">
                  <c:v>1.157106</c:v>
                </c:pt>
                <c:pt idx="59">
                  <c:v>1.1770670000000001</c:v>
                </c:pt>
                <c:pt idx="60">
                  <c:v>1.196807</c:v>
                </c:pt>
                <c:pt idx="61">
                  <c:v>1.2165919999999999</c:v>
                </c:pt>
                <c:pt idx="62">
                  <c:v>1.2363759999999999</c:v>
                </c:pt>
                <c:pt idx="63">
                  <c:v>1.256337</c:v>
                </c:pt>
                <c:pt idx="64">
                  <c:v>1.276386</c:v>
                </c:pt>
                <c:pt idx="65">
                  <c:v>1.2962579999999999</c:v>
                </c:pt>
                <c:pt idx="66">
                  <c:v>1.3161750000000001</c:v>
                </c:pt>
                <c:pt idx="67">
                  <c:v>1.336136</c:v>
                </c:pt>
                <c:pt idx="68">
                  <c:v>1.355524</c:v>
                </c:pt>
                <c:pt idx="69">
                  <c:v>1.375308</c:v>
                </c:pt>
                <c:pt idx="70">
                  <c:v>1.395092</c:v>
                </c:pt>
                <c:pt idx="71">
                  <c:v>1.415009</c:v>
                </c:pt>
                <c:pt idx="72">
                  <c:v>1.435675</c:v>
                </c:pt>
                <c:pt idx="73">
                  <c:v>1.455371</c:v>
                </c:pt>
                <c:pt idx="74">
                  <c:v>1.4752879999999999</c:v>
                </c:pt>
                <c:pt idx="75">
                  <c:v>1.495117</c:v>
                </c:pt>
                <c:pt idx="76">
                  <c:v>1.5151650000000001</c:v>
                </c:pt>
                <c:pt idx="77">
                  <c:v>1.5348619999999999</c:v>
                </c:pt>
                <c:pt idx="78">
                  <c:v>1.554778</c:v>
                </c:pt>
                <c:pt idx="79">
                  <c:v>1.574651</c:v>
                </c:pt>
                <c:pt idx="80">
                  <c:v>1.5962419999999999</c:v>
                </c:pt>
                <c:pt idx="81">
                  <c:v>1.616071</c:v>
                </c:pt>
                <c:pt idx="82">
                  <c:v>1.6358109999999999</c:v>
                </c:pt>
                <c:pt idx="83">
                  <c:v>1.6555960000000001</c:v>
                </c:pt>
                <c:pt idx="84">
                  <c:v>1.6753800000000001</c:v>
                </c:pt>
                <c:pt idx="85">
                  <c:v>1.6952970000000001</c:v>
                </c:pt>
                <c:pt idx="86">
                  <c:v>1.7150810000000001</c:v>
                </c:pt>
                <c:pt idx="87">
                  <c:v>1.735174</c:v>
                </c:pt>
                <c:pt idx="88">
                  <c:v>1.755179</c:v>
                </c:pt>
                <c:pt idx="89">
                  <c:v>1.775096</c:v>
                </c:pt>
                <c:pt idx="90">
                  <c:v>1.7948360000000001</c:v>
                </c:pt>
                <c:pt idx="91">
                  <c:v>1.814532</c:v>
                </c:pt>
                <c:pt idx="92">
                  <c:v>1.834449</c:v>
                </c:pt>
                <c:pt idx="93">
                  <c:v>1.8541449999999999</c:v>
                </c:pt>
                <c:pt idx="94">
                  <c:v>1.874106</c:v>
                </c:pt>
                <c:pt idx="95">
                  <c:v>1.893891</c:v>
                </c:pt>
                <c:pt idx="96">
                  <c:v>1.9155260000000001</c:v>
                </c:pt>
                <c:pt idx="97">
                  <c:v>1.935222</c:v>
                </c:pt>
                <c:pt idx="98">
                  <c:v>1.955095</c:v>
                </c:pt>
                <c:pt idx="99">
                  <c:v>1.9749669999999999</c:v>
                </c:pt>
                <c:pt idx="100">
                  <c:v>1.9945759999999999</c:v>
                </c:pt>
                <c:pt idx="101">
                  <c:v>2.0145360000000001</c:v>
                </c:pt>
                <c:pt idx="102">
                  <c:v>2.0343209999999998</c:v>
                </c:pt>
                <c:pt idx="103">
                  <c:v>2.0542820000000002</c:v>
                </c:pt>
                <c:pt idx="104">
                  <c:v>2.0752120000000001</c:v>
                </c:pt>
                <c:pt idx="105">
                  <c:v>2.0951719999999998</c:v>
                </c:pt>
                <c:pt idx="106">
                  <c:v>2.1148690000000001</c:v>
                </c:pt>
                <c:pt idx="107">
                  <c:v>2.1349179999999999</c:v>
                </c:pt>
                <c:pt idx="108">
                  <c:v>2.1548340000000001</c:v>
                </c:pt>
                <c:pt idx="109">
                  <c:v>2.1744870000000001</c:v>
                </c:pt>
                <c:pt idx="110">
                  <c:v>2.1943589999999999</c:v>
                </c:pt>
                <c:pt idx="111">
                  <c:v>2.2142759999999999</c:v>
                </c:pt>
                <c:pt idx="112">
                  <c:v>2.234369</c:v>
                </c:pt>
                <c:pt idx="113">
                  <c:v>2.254197</c:v>
                </c:pt>
                <c:pt idx="114">
                  <c:v>2.2742460000000002</c:v>
                </c:pt>
                <c:pt idx="115">
                  <c:v>2.2940309999999999</c:v>
                </c:pt>
                <c:pt idx="116">
                  <c:v>2.3137270000000001</c:v>
                </c:pt>
                <c:pt idx="117">
                  <c:v>2.3336000000000001</c:v>
                </c:pt>
                <c:pt idx="118">
                  <c:v>2.353472</c:v>
                </c:pt>
                <c:pt idx="119">
                  <c:v>2.373389</c:v>
                </c:pt>
                <c:pt idx="120">
                  <c:v>2.3915869999999999</c:v>
                </c:pt>
                <c:pt idx="121">
                  <c:v>2.4115039999999999</c:v>
                </c:pt>
                <c:pt idx="122">
                  <c:v>2.4313760000000002</c:v>
                </c:pt>
                <c:pt idx="123">
                  <c:v>2.451425</c:v>
                </c:pt>
                <c:pt idx="124">
                  <c:v>2.4710779999999999</c:v>
                </c:pt>
                <c:pt idx="125">
                  <c:v>2.490818</c:v>
                </c:pt>
                <c:pt idx="126">
                  <c:v>2.5109110000000001</c:v>
                </c:pt>
                <c:pt idx="127">
                  <c:v>2.5307390000000001</c:v>
                </c:pt>
                <c:pt idx="128">
                  <c:v>2.5526390000000001</c:v>
                </c:pt>
                <c:pt idx="129">
                  <c:v>2.5723790000000002</c:v>
                </c:pt>
                <c:pt idx="130">
                  <c:v>2.592428</c:v>
                </c:pt>
                <c:pt idx="131">
                  <c:v>2.6123449999999999</c:v>
                </c:pt>
                <c:pt idx="132">
                  <c:v>2.6323059999999998</c:v>
                </c:pt>
                <c:pt idx="133">
                  <c:v>2.652266</c:v>
                </c:pt>
                <c:pt idx="134">
                  <c:v>2.6719189999999999</c:v>
                </c:pt>
                <c:pt idx="135">
                  <c:v>2.6919680000000001</c:v>
                </c:pt>
                <c:pt idx="136">
                  <c:v>2.7125010000000001</c:v>
                </c:pt>
                <c:pt idx="137">
                  <c:v>2.7323740000000001</c:v>
                </c:pt>
                <c:pt idx="138">
                  <c:v>2.751938</c:v>
                </c:pt>
                <c:pt idx="139">
                  <c:v>2.771855</c:v>
                </c:pt>
                <c:pt idx="140">
                  <c:v>2.7918150000000002</c:v>
                </c:pt>
                <c:pt idx="141">
                  <c:v>2.8116880000000002</c:v>
                </c:pt>
                <c:pt idx="142">
                  <c:v>2.8313839999999999</c:v>
                </c:pt>
                <c:pt idx="143">
                  <c:v>2.8513449999999998</c:v>
                </c:pt>
                <c:pt idx="144">
                  <c:v>2.8715700000000002</c:v>
                </c:pt>
                <c:pt idx="145">
                  <c:v>2.891311</c:v>
                </c:pt>
                <c:pt idx="146">
                  <c:v>2.911095</c:v>
                </c:pt>
                <c:pt idx="147">
                  <c:v>2.930968</c:v>
                </c:pt>
                <c:pt idx="148">
                  <c:v>2.950796</c:v>
                </c:pt>
                <c:pt idx="149">
                  <c:v>2.970933</c:v>
                </c:pt>
                <c:pt idx="150">
                  <c:v>2.9905409999999999</c:v>
                </c:pt>
                <c:pt idx="151">
                  <c:v>3.010634</c:v>
                </c:pt>
                <c:pt idx="152">
                  <c:v>3.0311680000000001</c:v>
                </c:pt>
                <c:pt idx="153">
                  <c:v>3.0511729999999999</c:v>
                </c:pt>
                <c:pt idx="154">
                  <c:v>3.0710890000000002</c:v>
                </c:pt>
                <c:pt idx="155">
                  <c:v>3.09083</c:v>
                </c:pt>
                <c:pt idx="156">
                  <c:v>3.1107909999999999</c:v>
                </c:pt>
                <c:pt idx="157">
                  <c:v>3.1306630000000002</c:v>
                </c:pt>
                <c:pt idx="158">
                  <c:v>3.1506240000000001</c:v>
                </c:pt>
                <c:pt idx="159">
                  <c:v>3.1703199999999998</c:v>
                </c:pt>
                <c:pt idx="160">
                  <c:v>3.1913390000000001</c:v>
                </c:pt>
                <c:pt idx="161">
                  <c:v>3.210947</c:v>
                </c:pt>
                <c:pt idx="162">
                  <c:v>3.231128</c:v>
                </c:pt>
                <c:pt idx="163">
                  <c:v>3.2507359999999998</c:v>
                </c:pt>
                <c:pt idx="164">
                  <c:v>3.2706089999999999</c:v>
                </c:pt>
                <c:pt idx="165">
                  <c:v>3.2905250000000001</c:v>
                </c:pt>
                <c:pt idx="166">
                  <c:v>3.3103980000000002</c:v>
                </c:pt>
                <c:pt idx="167">
                  <c:v>3.3303590000000001</c:v>
                </c:pt>
                <c:pt idx="168">
                  <c:v>3.3504079999999998</c:v>
                </c:pt>
                <c:pt idx="169">
                  <c:v>3.3702359999999998</c:v>
                </c:pt>
                <c:pt idx="170">
                  <c:v>3.3900649999999999</c:v>
                </c:pt>
                <c:pt idx="171">
                  <c:v>3.4099370000000002</c:v>
                </c:pt>
                <c:pt idx="172">
                  <c:v>3.4297219999999999</c:v>
                </c:pt>
                <c:pt idx="173">
                  <c:v>3.4497710000000001</c:v>
                </c:pt>
                <c:pt idx="174">
                  <c:v>3.4695550000000002</c:v>
                </c:pt>
                <c:pt idx="175">
                  <c:v>3.4895160000000001</c:v>
                </c:pt>
                <c:pt idx="176">
                  <c:v>3.5103140000000002</c:v>
                </c:pt>
                <c:pt idx="177">
                  <c:v>3.53023</c:v>
                </c:pt>
                <c:pt idx="178">
                  <c:v>3.5502349999999998</c:v>
                </c:pt>
                <c:pt idx="179">
                  <c:v>3.5701520000000002</c:v>
                </c:pt>
                <c:pt idx="180">
                  <c:v>3.590157</c:v>
                </c:pt>
                <c:pt idx="181">
                  <c:v>3.6098970000000001</c:v>
                </c:pt>
                <c:pt idx="182">
                  <c:v>3.629902</c:v>
                </c:pt>
                <c:pt idx="183">
                  <c:v>3.6498189999999999</c:v>
                </c:pt>
                <c:pt idx="184">
                  <c:v>3.67022</c:v>
                </c:pt>
                <c:pt idx="185">
                  <c:v>3.6900930000000001</c:v>
                </c:pt>
                <c:pt idx="186">
                  <c:v>3.7100529999999998</c:v>
                </c:pt>
                <c:pt idx="187">
                  <c:v>3.730102</c:v>
                </c:pt>
                <c:pt idx="188">
                  <c:v>3.750019</c:v>
                </c:pt>
                <c:pt idx="189">
                  <c:v>3.7697590000000001</c:v>
                </c:pt>
                <c:pt idx="190">
                  <c:v>3.78972</c:v>
                </c:pt>
                <c:pt idx="191">
                  <c:v>3.8097249999999998</c:v>
                </c:pt>
                <c:pt idx="192">
                  <c:v>3.828716</c:v>
                </c:pt>
                <c:pt idx="193">
                  <c:v>3.8485010000000002</c:v>
                </c:pt>
                <c:pt idx="194">
                  <c:v>3.8685939999999999</c:v>
                </c:pt>
                <c:pt idx="195">
                  <c:v>3.8885540000000001</c:v>
                </c:pt>
                <c:pt idx="196">
                  <c:v>3.908515</c:v>
                </c:pt>
                <c:pt idx="197">
                  <c:v>3.928388</c:v>
                </c:pt>
                <c:pt idx="198">
                  <c:v>3.948172</c:v>
                </c:pt>
                <c:pt idx="199">
                  <c:v>3.9682210000000002</c:v>
                </c:pt>
                <c:pt idx="200">
                  <c:v>3.9888870000000001</c:v>
                </c:pt>
                <c:pt idx="201">
                  <c:v>4.0088920000000003</c:v>
                </c:pt>
                <c:pt idx="202">
                  <c:v>4.0288079999999997</c:v>
                </c:pt>
                <c:pt idx="203">
                  <c:v>4.0489889999999997</c:v>
                </c:pt>
                <c:pt idx="204">
                  <c:v>4.0687300000000004</c:v>
                </c:pt>
                <c:pt idx="205">
                  <c:v>4.0887349999999998</c:v>
                </c:pt>
                <c:pt idx="206">
                  <c:v>4.1087829999999999</c:v>
                </c:pt>
                <c:pt idx="207">
                  <c:v>4.1287440000000002</c:v>
                </c:pt>
                <c:pt idx="208">
                  <c:v>4.149057</c:v>
                </c:pt>
                <c:pt idx="209">
                  <c:v>4.1688419999999997</c:v>
                </c:pt>
                <c:pt idx="210">
                  <c:v>4.1887590000000001</c:v>
                </c:pt>
                <c:pt idx="211">
                  <c:v>4.2086309999999996</c:v>
                </c:pt>
                <c:pt idx="212">
                  <c:v>4.2286359999999998</c:v>
                </c:pt>
                <c:pt idx="213">
                  <c:v>4.248685</c:v>
                </c:pt>
                <c:pt idx="214">
                  <c:v>4.2685570000000004</c:v>
                </c:pt>
                <c:pt idx="215">
                  <c:v>4.2885619999999998</c:v>
                </c:pt>
                <c:pt idx="216">
                  <c:v>4.3097570000000003</c:v>
                </c:pt>
                <c:pt idx="217">
                  <c:v>4.3298059999999996</c:v>
                </c:pt>
                <c:pt idx="218">
                  <c:v>4.3495460000000001</c:v>
                </c:pt>
                <c:pt idx="219">
                  <c:v>4.3696390000000003</c:v>
                </c:pt>
                <c:pt idx="220">
                  <c:v>4.3896439999999997</c:v>
                </c:pt>
                <c:pt idx="221">
                  <c:v>4.4094720000000001</c:v>
                </c:pt>
                <c:pt idx="222">
                  <c:v>4.4295650000000002</c:v>
                </c:pt>
                <c:pt idx="223">
                  <c:v>4.4494379999999998</c:v>
                </c:pt>
                <c:pt idx="224">
                  <c:v>4.4717339999999997</c:v>
                </c:pt>
                <c:pt idx="225">
                  <c:v>4.4918269999999998</c:v>
                </c:pt>
                <c:pt idx="226">
                  <c:v>4.5118320000000001</c:v>
                </c:pt>
                <c:pt idx="227">
                  <c:v>4.5318800000000001</c:v>
                </c:pt>
                <c:pt idx="228">
                  <c:v>4.5520620000000003</c:v>
                </c:pt>
                <c:pt idx="229">
                  <c:v>4.5720660000000004</c:v>
                </c:pt>
                <c:pt idx="230">
                  <c:v>4.5918510000000001</c:v>
                </c:pt>
                <c:pt idx="231">
                  <c:v>4.6118119999999996</c:v>
                </c:pt>
                <c:pt idx="232">
                  <c:v>4.6327420000000004</c:v>
                </c:pt>
                <c:pt idx="233">
                  <c:v>4.6529230000000004</c:v>
                </c:pt>
                <c:pt idx="234">
                  <c:v>4.6729279999999997</c:v>
                </c:pt>
                <c:pt idx="235">
                  <c:v>4.6930199999999997</c:v>
                </c:pt>
                <c:pt idx="236">
                  <c:v>4.713069</c:v>
                </c:pt>
                <c:pt idx="237">
                  <c:v>4.7330740000000002</c:v>
                </c:pt>
                <c:pt idx="238">
                  <c:v>4.7531230000000004</c:v>
                </c:pt>
                <c:pt idx="239">
                  <c:v>4.772996</c:v>
                </c:pt>
                <c:pt idx="240">
                  <c:v>4.7930890000000002</c:v>
                </c:pt>
                <c:pt idx="241">
                  <c:v>4.8130050000000004</c:v>
                </c:pt>
                <c:pt idx="242">
                  <c:v>4.8332300000000004</c:v>
                </c:pt>
                <c:pt idx="243">
                  <c:v>4.8532349999999997</c:v>
                </c:pt>
                <c:pt idx="244">
                  <c:v>4.8733279999999999</c:v>
                </c:pt>
                <c:pt idx="245">
                  <c:v>4.8932890000000002</c:v>
                </c:pt>
                <c:pt idx="246">
                  <c:v>4.913646</c:v>
                </c:pt>
                <c:pt idx="247">
                  <c:v>4.9335630000000004</c:v>
                </c:pt>
                <c:pt idx="248">
                  <c:v>4.9527739999999998</c:v>
                </c:pt>
                <c:pt idx="249">
                  <c:v>4.9728669999999999</c:v>
                </c:pt>
                <c:pt idx="250">
                  <c:v>4.9927400000000004</c:v>
                </c:pt>
                <c:pt idx="251">
                  <c:v>5.0130970000000001</c:v>
                </c:pt>
                <c:pt idx="252">
                  <c:v>5.0332340000000002</c:v>
                </c:pt>
                <c:pt idx="253">
                  <c:v>5.0534590000000001</c:v>
                </c:pt>
                <c:pt idx="254">
                  <c:v>5.0735520000000003</c:v>
                </c:pt>
                <c:pt idx="255">
                  <c:v>5.0935569999999997</c:v>
                </c:pt>
                <c:pt idx="256">
                  <c:v>5.1136059999999999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4-4706-B493-C6A961F25995}"/>
            </c:ext>
          </c:extLst>
        </c:ser>
        <c:ser>
          <c:idx val="2"/>
          <c:order val="2"/>
          <c:tx>
            <c:strRef>
              <c:f>sdia_profile!$L$1</c:f>
              <c:strCache>
                <c:ptCount val="1"/>
                <c:pt idx="0">
                  <c:v>DC Offset, Ideal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sdia_profile!$L$2:$L$258</c:f>
              <c:numCache>
                <c:formatCode>General</c:formatCode>
                <c:ptCount val="257"/>
                <c:pt idx="0">
                  <c:v>0</c:v>
                </c:pt>
                <c:pt idx="1">
                  <c:v>1.953125E-2</c:v>
                </c:pt>
                <c:pt idx="2">
                  <c:v>3.90625E-2</c:v>
                </c:pt>
                <c:pt idx="3">
                  <c:v>5.859375E-2</c:v>
                </c:pt>
                <c:pt idx="4">
                  <c:v>7.8125E-2</c:v>
                </c:pt>
                <c:pt idx="5">
                  <c:v>9.765625E-2</c:v>
                </c:pt>
                <c:pt idx="6">
                  <c:v>0.1171875</c:v>
                </c:pt>
                <c:pt idx="7">
                  <c:v>0.13671875</c:v>
                </c:pt>
                <c:pt idx="8">
                  <c:v>0.15625</c:v>
                </c:pt>
                <c:pt idx="9">
                  <c:v>0.17578125</c:v>
                </c:pt>
                <c:pt idx="10">
                  <c:v>0.1953125</c:v>
                </c:pt>
                <c:pt idx="11">
                  <c:v>0.21484375</c:v>
                </c:pt>
                <c:pt idx="12">
                  <c:v>0.234375</c:v>
                </c:pt>
                <c:pt idx="13">
                  <c:v>0.25390625</c:v>
                </c:pt>
                <c:pt idx="14">
                  <c:v>0.2734375</c:v>
                </c:pt>
                <c:pt idx="15">
                  <c:v>0.29296875</c:v>
                </c:pt>
                <c:pt idx="16">
                  <c:v>0.3125</c:v>
                </c:pt>
                <c:pt idx="17">
                  <c:v>0.33203125</c:v>
                </c:pt>
                <c:pt idx="18">
                  <c:v>0.3515625</c:v>
                </c:pt>
                <c:pt idx="19">
                  <c:v>0.37109375</c:v>
                </c:pt>
                <c:pt idx="20">
                  <c:v>0.390625</c:v>
                </c:pt>
                <c:pt idx="21">
                  <c:v>0.41015625</c:v>
                </c:pt>
                <c:pt idx="22">
                  <c:v>0.4296875</c:v>
                </c:pt>
                <c:pt idx="23">
                  <c:v>0.44921875</c:v>
                </c:pt>
                <c:pt idx="24">
                  <c:v>0.46875</c:v>
                </c:pt>
                <c:pt idx="25">
                  <c:v>0.48828125</c:v>
                </c:pt>
                <c:pt idx="26">
                  <c:v>0.5078125</c:v>
                </c:pt>
                <c:pt idx="27">
                  <c:v>0.52734375</c:v>
                </c:pt>
                <c:pt idx="28">
                  <c:v>0.546875</c:v>
                </c:pt>
                <c:pt idx="29">
                  <c:v>0.56640625</c:v>
                </c:pt>
                <c:pt idx="30">
                  <c:v>0.5859375</c:v>
                </c:pt>
                <c:pt idx="31">
                  <c:v>0.60546875</c:v>
                </c:pt>
                <c:pt idx="32">
                  <c:v>0.625</c:v>
                </c:pt>
                <c:pt idx="33">
                  <c:v>0.64453125</c:v>
                </c:pt>
                <c:pt idx="34">
                  <c:v>0.6640625</c:v>
                </c:pt>
                <c:pt idx="35">
                  <c:v>0.68359375</c:v>
                </c:pt>
                <c:pt idx="36">
                  <c:v>0.703125</c:v>
                </c:pt>
                <c:pt idx="37">
                  <c:v>0.72265625</c:v>
                </c:pt>
                <c:pt idx="38">
                  <c:v>0.7421875</c:v>
                </c:pt>
                <c:pt idx="39">
                  <c:v>0.76171875</c:v>
                </c:pt>
                <c:pt idx="40">
                  <c:v>0.78125</c:v>
                </c:pt>
                <c:pt idx="41">
                  <c:v>0.80078125</c:v>
                </c:pt>
                <c:pt idx="42">
                  <c:v>0.8203125</c:v>
                </c:pt>
                <c:pt idx="43">
                  <c:v>0.83984375</c:v>
                </c:pt>
                <c:pt idx="44">
                  <c:v>0.859375</c:v>
                </c:pt>
                <c:pt idx="45">
                  <c:v>0.87890625</c:v>
                </c:pt>
                <c:pt idx="46">
                  <c:v>0.8984375</c:v>
                </c:pt>
                <c:pt idx="47">
                  <c:v>0.91796875</c:v>
                </c:pt>
                <c:pt idx="48">
                  <c:v>0.9375</c:v>
                </c:pt>
                <c:pt idx="49">
                  <c:v>0.95703125</c:v>
                </c:pt>
                <c:pt idx="50">
                  <c:v>0.9765625</c:v>
                </c:pt>
                <c:pt idx="51">
                  <c:v>0.99609375</c:v>
                </c:pt>
                <c:pt idx="52">
                  <c:v>1.015625</c:v>
                </c:pt>
                <c:pt idx="53">
                  <c:v>1.03515625</c:v>
                </c:pt>
                <c:pt idx="54">
                  <c:v>1.0546875</c:v>
                </c:pt>
                <c:pt idx="55">
                  <c:v>1.07421875</c:v>
                </c:pt>
                <c:pt idx="56">
                  <c:v>1.09375</c:v>
                </c:pt>
                <c:pt idx="57">
                  <c:v>1.11328125</c:v>
                </c:pt>
                <c:pt idx="58">
                  <c:v>1.1328125</c:v>
                </c:pt>
                <c:pt idx="59">
                  <c:v>1.15234375</c:v>
                </c:pt>
                <c:pt idx="60">
                  <c:v>1.171875</c:v>
                </c:pt>
                <c:pt idx="61">
                  <c:v>1.19140625</c:v>
                </c:pt>
                <c:pt idx="62">
                  <c:v>1.2109375</c:v>
                </c:pt>
                <c:pt idx="63">
                  <c:v>1.23046875</c:v>
                </c:pt>
                <c:pt idx="64">
                  <c:v>1.25</c:v>
                </c:pt>
                <c:pt idx="65">
                  <c:v>1.26953125</c:v>
                </c:pt>
                <c:pt idx="66">
                  <c:v>1.2890625</c:v>
                </c:pt>
                <c:pt idx="67">
                  <c:v>1.30859375</c:v>
                </c:pt>
                <c:pt idx="68">
                  <c:v>1.328125</c:v>
                </c:pt>
                <c:pt idx="69">
                  <c:v>1.34765625</c:v>
                </c:pt>
                <c:pt idx="70">
                  <c:v>1.3671875</c:v>
                </c:pt>
                <c:pt idx="71">
                  <c:v>1.38671875</c:v>
                </c:pt>
                <c:pt idx="72">
                  <c:v>1.40625</c:v>
                </c:pt>
                <c:pt idx="73">
                  <c:v>1.42578125</c:v>
                </c:pt>
                <c:pt idx="74">
                  <c:v>1.4453125</c:v>
                </c:pt>
                <c:pt idx="75">
                  <c:v>1.46484375</c:v>
                </c:pt>
                <c:pt idx="76">
                  <c:v>1.484375</c:v>
                </c:pt>
                <c:pt idx="77">
                  <c:v>1.50390625</c:v>
                </c:pt>
                <c:pt idx="78">
                  <c:v>1.5234375</c:v>
                </c:pt>
                <c:pt idx="79">
                  <c:v>1.54296875</c:v>
                </c:pt>
                <c:pt idx="80">
                  <c:v>1.5625</c:v>
                </c:pt>
                <c:pt idx="81">
                  <c:v>1.58203125</c:v>
                </c:pt>
                <c:pt idx="82">
                  <c:v>1.6015625</c:v>
                </c:pt>
                <c:pt idx="83">
                  <c:v>1.62109375</c:v>
                </c:pt>
                <c:pt idx="84">
                  <c:v>1.640625</c:v>
                </c:pt>
                <c:pt idx="85">
                  <c:v>1.66015625</c:v>
                </c:pt>
                <c:pt idx="86">
                  <c:v>1.6796875</c:v>
                </c:pt>
                <c:pt idx="87">
                  <c:v>1.69921875</c:v>
                </c:pt>
                <c:pt idx="88">
                  <c:v>1.71875</c:v>
                </c:pt>
                <c:pt idx="89">
                  <c:v>1.73828125</c:v>
                </c:pt>
                <c:pt idx="90">
                  <c:v>1.7578125</c:v>
                </c:pt>
                <c:pt idx="91">
                  <c:v>1.77734375</c:v>
                </c:pt>
                <c:pt idx="92">
                  <c:v>1.796875</c:v>
                </c:pt>
                <c:pt idx="93">
                  <c:v>1.81640625</c:v>
                </c:pt>
                <c:pt idx="94">
                  <c:v>1.8359375</c:v>
                </c:pt>
                <c:pt idx="95">
                  <c:v>1.85546875</c:v>
                </c:pt>
                <c:pt idx="96">
                  <c:v>1.875</c:v>
                </c:pt>
                <c:pt idx="97">
                  <c:v>1.89453125</c:v>
                </c:pt>
                <c:pt idx="98">
                  <c:v>1.9140625</c:v>
                </c:pt>
                <c:pt idx="99">
                  <c:v>1.93359375</c:v>
                </c:pt>
                <c:pt idx="100">
                  <c:v>1.953125</c:v>
                </c:pt>
                <c:pt idx="101">
                  <c:v>1.97265625</c:v>
                </c:pt>
                <c:pt idx="102">
                  <c:v>1.9921875</c:v>
                </c:pt>
                <c:pt idx="103">
                  <c:v>2.01171875</c:v>
                </c:pt>
                <c:pt idx="104">
                  <c:v>2.03125</c:v>
                </c:pt>
                <c:pt idx="105">
                  <c:v>2.05078125</c:v>
                </c:pt>
                <c:pt idx="106">
                  <c:v>2.0703125</c:v>
                </c:pt>
                <c:pt idx="107">
                  <c:v>2.08984375</c:v>
                </c:pt>
                <c:pt idx="108">
                  <c:v>2.109375</c:v>
                </c:pt>
                <c:pt idx="109">
                  <c:v>2.12890625</c:v>
                </c:pt>
                <c:pt idx="110">
                  <c:v>2.1484375</c:v>
                </c:pt>
                <c:pt idx="111">
                  <c:v>2.16796875</c:v>
                </c:pt>
                <c:pt idx="112">
                  <c:v>2.1875</c:v>
                </c:pt>
                <c:pt idx="113">
                  <c:v>2.20703125</c:v>
                </c:pt>
                <c:pt idx="114">
                  <c:v>2.2265625</c:v>
                </c:pt>
                <c:pt idx="115">
                  <c:v>2.24609375</c:v>
                </c:pt>
                <c:pt idx="116">
                  <c:v>2.265625</c:v>
                </c:pt>
                <c:pt idx="117">
                  <c:v>2.28515625</c:v>
                </c:pt>
                <c:pt idx="118">
                  <c:v>2.3046875</c:v>
                </c:pt>
                <c:pt idx="119">
                  <c:v>2.32421875</c:v>
                </c:pt>
                <c:pt idx="120">
                  <c:v>2.34375</c:v>
                </c:pt>
                <c:pt idx="121">
                  <c:v>2.36328125</c:v>
                </c:pt>
                <c:pt idx="122">
                  <c:v>2.3828125</c:v>
                </c:pt>
                <c:pt idx="123">
                  <c:v>2.40234375</c:v>
                </c:pt>
                <c:pt idx="124">
                  <c:v>2.421875</c:v>
                </c:pt>
                <c:pt idx="125">
                  <c:v>2.44140625</c:v>
                </c:pt>
                <c:pt idx="126">
                  <c:v>2.4609375</c:v>
                </c:pt>
                <c:pt idx="127">
                  <c:v>2.48046875</c:v>
                </c:pt>
                <c:pt idx="128">
                  <c:v>2.5</c:v>
                </c:pt>
                <c:pt idx="129">
                  <c:v>2.51953125</c:v>
                </c:pt>
                <c:pt idx="130">
                  <c:v>2.5390625</c:v>
                </c:pt>
                <c:pt idx="131">
                  <c:v>2.55859375</c:v>
                </c:pt>
                <c:pt idx="132">
                  <c:v>2.578125</c:v>
                </c:pt>
                <c:pt idx="133">
                  <c:v>2.59765625</c:v>
                </c:pt>
                <c:pt idx="134">
                  <c:v>2.6171875</c:v>
                </c:pt>
                <c:pt idx="135">
                  <c:v>2.63671875</c:v>
                </c:pt>
                <c:pt idx="136">
                  <c:v>2.65625</c:v>
                </c:pt>
                <c:pt idx="137">
                  <c:v>2.67578125</c:v>
                </c:pt>
                <c:pt idx="138">
                  <c:v>2.6953125</c:v>
                </c:pt>
                <c:pt idx="139">
                  <c:v>2.71484375</c:v>
                </c:pt>
                <c:pt idx="140">
                  <c:v>2.734375</c:v>
                </c:pt>
                <c:pt idx="141">
                  <c:v>2.75390625</c:v>
                </c:pt>
                <c:pt idx="142">
                  <c:v>2.7734375</c:v>
                </c:pt>
                <c:pt idx="143">
                  <c:v>2.79296875</c:v>
                </c:pt>
                <c:pt idx="144">
                  <c:v>2.8125</c:v>
                </c:pt>
                <c:pt idx="145">
                  <c:v>2.83203125</c:v>
                </c:pt>
                <c:pt idx="146">
                  <c:v>2.8515625</c:v>
                </c:pt>
                <c:pt idx="147">
                  <c:v>2.87109375</c:v>
                </c:pt>
                <c:pt idx="148">
                  <c:v>2.890625</c:v>
                </c:pt>
                <c:pt idx="149">
                  <c:v>2.91015625</c:v>
                </c:pt>
                <c:pt idx="150">
                  <c:v>2.9296875</c:v>
                </c:pt>
                <c:pt idx="151">
                  <c:v>2.94921875</c:v>
                </c:pt>
                <c:pt idx="152">
                  <c:v>2.96875</c:v>
                </c:pt>
                <c:pt idx="153">
                  <c:v>2.98828125</c:v>
                </c:pt>
                <c:pt idx="154">
                  <c:v>3.0078125</c:v>
                </c:pt>
                <c:pt idx="155">
                  <c:v>3.02734375</c:v>
                </c:pt>
                <c:pt idx="156">
                  <c:v>3.046875</c:v>
                </c:pt>
                <c:pt idx="157">
                  <c:v>3.06640625</c:v>
                </c:pt>
                <c:pt idx="158">
                  <c:v>3.0859375</c:v>
                </c:pt>
                <c:pt idx="159">
                  <c:v>3.10546875</c:v>
                </c:pt>
                <c:pt idx="160">
                  <c:v>3.125</c:v>
                </c:pt>
                <c:pt idx="161">
                  <c:v>3.14453125</c:v>
                </c:pt>
                <c:pt idx="162">
                  <c:v>3.1640625</c:v>
                </c:pt>
                <c:pt idx="163">
                  <c:v>3.18359375</c:v>
                </c:pt>
                <c:pt idx="164">
                  <c:v>3.203125</c:v>
                </c:pt>
                <c:pt idx="165">
                  <c:v>3.22265625</c:v>
                </c:pt>
                <c:pt idx="166">
                  <c:v>3.2421875</c:v>
                </c:pt>
                <c:pt idx="167">
                  <c:v>3.26171875</c:v>
                </c:pt>
                <c:pt idx="168">
                  <c:v>3.28125</c:v>
                </c:pt>
                <c:pt idx="169">
                  <c:v>3.30078125</c:v>
                </c:pt>
                <c:pt idx="170">
                  <c:v>3.3203125</c:v>
                </c:pt>
                <c:pt idx="171">
                  <c:v>3.33984375</c:v>
                </c:pt>
                <c:pt idx="172">
                  <c:v>3.359375</c:v>
                </c:pt>
                <c:pt idx="173">
                  <c:v>3.37890625</c:v>
                </c:pt>
                <c:pt idx="174">
                  <c:v>3.3984375</c:v>
                </c:pt>
                <c:pt idx="175">
                  <c:v>3.41796875</c:v>
                </c:pt>
                <c:pt idx="176">
                  <c:v>3.4375</c:v>
                </c:pt>
                <c:pt idx="177">
                  <c:v>3.45703125</c:v>
                </c:pt>
                <c:pt idx="178">
                  <c:v>3.4765625</c:v>
                </c:pt>
                <c:pt idx="179">
                  <c:v>3.49609375</c:v>
                </c:pt>
                <c:pt idx="180">
                  <c:v>3.515625</c:v>
                </c:pt>
                <c:pt idx="181">
                  <c:v>3.53515625</c:v>
                </c:pt>
                <c:pt idx="182">
                  <c:v>3.5546875</c:v>
                </c:pt>
                <c:pt idx="183">
                  <c:v>3.57421875</c:v>
                </c:pt>
                <c:pt idx="184">
                  <c:v>3.59375</c:v>
                </c:pt>
                <c:pt idx="185">
                  <c:v>3.61328125</c:v>
                </c:pt>
                <c:pt idx="186">
                  <c:v>3.6328125</c:v>
                </c:pt>
                <c:pt idx="187">
                  <c:v>3.65234375</c:v>
                </c:pt>
                <c:pt idx="188">
                  <c:v>3.671875</c:v>
                </c:pt>
                <c:pt idx="189">
                  <c:v>3.69140625</c:v>
                </c:pt>
                <c:pt idx="190">
                  <c:v>3.7109375</c:v>
                </c:pt>
                <c:pt idx="191">
                  <c:v>3.73046875</c:v>
                </c:pt>
                <c:pt idx="192">
                  <c:v>3.75</c:v>
                </c:pt>
                <c:pt idx="193">
                  <c:v>3.76953125</c:v>
                </c:pt>
                <c:pt idx="194">
                  <c:v>3.7890625</c:v>
                </c:pt>
                <c:pt idx="195">
                  <c:v>3.80859375</c:v>
                </c:pt>
                <c:pt idx="196">
                  <c:v>3.828125</c:v>
                </c:pt>
                <c:pt idx="197">
                  <c:v>3.84765625</c:v>
                </c:pt>
                <c:pt idx="198">
                  <c:v>3.8671875</c:v>
                </c:pt>
                <c:pt idx="199">
                  <c:v>3.88671875</c:v>
                </c:pt>
                <c:pt idx="200">
                  <c:v>3.90625</c:v>
                </c:pt>
                <c:pt idx="201">
                  <c:v>3.92578125</c:v>
                </c:pt>
                <c:pt idx="202">
                  <c:v>3.9453125</c:v>
                </c:pt>
                <c:pt idx="203">
                  <c:v>3.96484375</c:v>
                </c:pt>
                <c:pt idx="204">
                  <c:v>3.984375</c:v>
                </c:pt>
                <c:pt idx="205">
                  <c:v>4.00390625</c:v>
                </c:pt>
                <c:pt idx="206">
                  <c:v>4.0234375</c:v>
                </c:pt>
                <c:pt idx="207">
                  <c:v>4.04296875</c:v>
                </c:pt>
                <c:pt idx="208">
                  <c:v>4.0625</c:v>
                </c:pt>
                <c:pt idx="209">
                  <c:v>4.08203125</c:v>
                </c:pt>
                <c:pt idx="210">
                  <c:v>4.1015625</c:v>
                </c:pt>
                <c:pt idx="211">
                  <c:v>4.12109375</c:v>
                </c:pt>
                <c:pt idx="212">
                  <c:v>4.140625</c:v>
                </c:pt>
                <c:pt idx="213">
                  <c:v>4.16015625</c:v>
                </c:pt>
                <c:pt idx="214">
                  <c:v>4.1796875</c:v>
                </c:pt>
                <c:pt idx="215">
                  <c:v>4.19921875</c:v>
                </c:pt>
                <c:pt idx="216">
                  <c:v>4.21875</c:v>
                </c:pt>
                <c:pt idx="217">
                  <c:v>4.23828125</c:v>
                </c:pt>
                <c:pt idx="218">
                  <c:v>4.2578125</c:v>
                </c:pt>
                <c:pt idx="219">
                  <c:v>4.27734375</c:v>
                </c:pt>
                <c:pt idx="220">
                  <c:v>4.296875</c:v>
                </c:pt>
                <c:pt idx="221">
                  <c:v>4.31640625</c:v>
                </c:pt>
                <c:pt idx="222">
                  <c:v>4.3359375</c:v>
                </c:pt>
                <c:pt idx="223">
                  <c:v>4.35546875</c:v>
                </c:pt>
                <c:pt idx="224">
                  <c:v>4.375</c:v>
                </c:pt>
                <c:pt idx="225">
                  <c:v>4.39453125</c:v>
                </c:pt>
                <c:pt idx="226">
                  <c:v>4.4140625</c:v>
                </c:pt>
                <c:pt idx="227">
                  <c:v>4.43359375</c:v>
                </c:pt>
                <c:pt idx="228">
                  <c:v>4.453125</c:v>
                </c:pt>
                <c:pt idx="229">
                  <c:v>4.47265625</c:v>
                </c:pt>
                <c:pt idx="230">
                  <c:v>4.4921875</c:v>
                </c:pt>
                <c:pt idx="231">
                  <c:v>4.51171875</c:v>
                </c:pt>
                <c:pt idx="232">
                  <c:v>4.53125</c:v>
                </c:pt>
                <c:pt idx="233">
                  <c:v>4.55078125</c:v>
                </c:pt>
                <c:pt idx="234">
                  <c:v>4.5703125</c:v>
                </c:pt>
                <c:pt idx="235">
                  <c:v>4.58984375</c:v>
                </c:pt>
                <c:pt idx="236">
                  <c:v>4.609375</c:v>
                </c:pt>
                <c:pt idx="237">
                  <c:v>4.62890625</c:v>
                </c:pt>
                <c:pt idx="238">
                  <c:v>4.6484375</c:v>
                </c:pt>
                <c:pt idx="239">
                  <c:v>4.66796875</c:v>
                </c:pt>
                <c:pt idx="240">
                  <c:v>4.6875</c:v>
                </c:pt>
                <c:pt idx="241">
                  <c:v>4.70703125</c:v>
                </c:pt>
                <c:pt idx="242">
                  <c:v>4.7265625</c:v>
                </c:pt>
                <c:pt idx="243">
                  <c:v>4.74609375</c:v>
                </c:pt>
                <c:pt idx="244">
                  <c:v>4.765625</c:v>
                </c:pt>
                <c:pt idx="245">
                  <c:v>4.78515625</c:v>
                </c:pt>
                <c:pt idx="246">
                  <c:v>4.8046875</c:v>
                </c:pt>
                <c:pt idx="247">
                  <c:v>4.82421875</c:v>
                </c:pt>
                <c:pt idx="248">
                  <c:v>4.84375</c:v>
                </c:pt>
                <c:pt idx="249">
                  <c:v>4.86328125</c:v>
                </c:pt>
                <c:pt idx="250">
                  <c:v>4.8828125</c:v>
                </c:pt>
                <c:pt idx="251">
                  <c:v>4.90234375</c:v>
                </c:pt>
                <c:pt idx="252">
                  <c:v>4.921875</c:v>
                </c:pt>
                <c:pt idx="253">
                  <c:v>4.94140625</c:v>
                </c:pt>
                <c:pt idx="254">
                  <c:v>4.9609375</c:v>
                </c:pt>
                <c:pt idx="255">
                  <c:v>4.98046875</c:v>
                </c:pt>
                <c:pt idx="256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0-4C50-BD15-4EBDC6F6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761951"/>
        <c:axId val="1493759551"/>
      </c:scatterChart>
      <c:valAx>
        <c:axId val="1493761951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Wiper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59551"/>
        <c:crosses val="autoZero"/>
        <c:crossBetween val="midCat"/>
      </c:valAx>
      <c:valAx>
        <c:axId val="14937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Offset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DC Offsets</a:t>
            </a:r>
            <a:r>
              <a:rPr lang="en-US" sz="2400" baseline="0"/>
              <a:t> Error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sdia_profile!$M$2:$M$258</c:f>
              <c:numCache>
                <c:formatCode>0.00%</c:formatCode>
                <c:ptCount val="257"/>
                <c:pt idx="0">
                  <c:v>0</c:v>
                </c:pt>
                <c:pt idx="1">
                  <c:v>0.15281920000000007</c:v>
                </c:pt>
                <c:pt idx="2">
                  <c:v>9.4195200000000062E-2</c:v>
                </c:pt>
                <c:pt idx="3">
                  <c:v>6.7110399999999973E-2</c:v>
                </c:pt>
                <c:pt idx="4">
                  <c:v>5.8649600000000038E-2</c:v>
                </c:pt>
                <c:pt idx="5">
                  <c:v>5.1770879999999977E-2</c:v>
                </c:pt>
                <c:pt idx="6">
                  <c:v>4.8311466666666664E-2</c:v>
                </c:pt>
                <c:pt idx="7">
                  <c:v>4.4231314285714314E-2</c:v>
                </c:pt>
                <c:pt idx="8">
                  <c:v>3.7779199999999943E-2</c:v>
                </c:pt>
                <c:pt idx="9">
                  <c:v>3.7027555555555598E-2</c:v>
                </c:pt>
                <c:pt idx="10">
                  <c:v>3.5299839999999992E-2</c:v>
                </c:pt>
                <c:pt idx="11">
                  <c:v>3.4295854545454516E-2</c:v>
                </c:pt>
                <c:pt idx="12">
                  <c:v>3.4022400000000036E-2</c:v>
                </c:pt>
                <c:pt idx="13">
                  <c:v>3.2924553846153844E-2</c:v>
                </c:pt>
                <c:pt idx="14">
                  <c:v>3.2627200000000099E-2</c:v>
                </c:pt>
                <c:pt idx="15">
                  <c:v>3.2215893333333273E-2</c:v>
                </c:pt>
                <c:pt idx="16">
                  <c:v>3.214079999999999E-2</c:v>
                </c:pt>
                <c:pt idx="17">
                  <c:v>3.1411952941176519E-2</c:v>
                </c:pt>
                <c:pt idx="18">
                  <c:v>3.1014400000000029E-2</c:v>
                </c:pt>
                <c:pt idx="19">
                  <c:v>3.054012631578952E-2</c:v>
                </c:pt>
                <c:pt idx="20">
                  <c:v>3.0676480000000055E-2</c:v>
                </c:pt>
                <c:pt idx="21">
                  <c:v>2.9939199999999947E-2</c:v>
                </c:pt>
                <c:pt idx="22">
                  <c:v>2.9680872727272666E-2</c:v>
                </c:pt>
                <c:pt idx="23">
                  <c:v>2.9738852173913019E-2</c:v>
                </c:pt>
                <c:pt idx="24">
                  <c:v>2.9228800000000041E-2</c:v>
                </c:pt>
                <c:pt idx="25">
                  <c:v>2.8487168000000111E-2</c:v>
                </c:pt>
                <c:pt idx="26">
                  <c:v>2.8411076923076997E-2</c:v>
                </c:pt>
                <c:pt idx="27">
                  <c:v>2.8257185185185142E-2</c:v>
                </c:pt>
                <c:pt idx="28">
                  <c:v>2.8436114285714253E-2</c:v>
                </c:pt>
                <c:pt idx="29">
                  <c:v>2.8134841379310393E-2</c:v>
                </c:pt>
                <c:pt idx="30">
                  <c:v>2.793045333333339E-2</c:v>
                </c:pt>
                <c:pt idx="31">
                  <c:v>2.773925161290329E-2</c:v>
                </c:pt>
                <c:pt idx="32">
                  <c:v>2.9180799999999962E-2</c:v>
                </c:pt>
                <c:pt idx="33">
                  <c:v>2.923636363636371E-2</c:v>
                </c:pt>
                <c:pt idx="34">
                  <c:v>2.8957364705882369E-2</c:v>
                </c:pt>
                <c:pt idx="35">
                  <c:v>2.8757211428571412E-2</c:v>
                </c:pt>
                <c:pt idx="36">
                  <c:v>2.8694755555555514E-2</c:v>
                </c:pt>
                <c:pt idx="37">
                  <c:v>2.8696562162162161E-2</c:v>
                </c:pt>
                <c:pt idx="38">
                  <c:v>2.8401852631578985E-2</c:v>
                </c:pt>
                <c:pt idx="39">
                  <c:v>2.7947651282051292E-2</c:v>
                </c:pt>
                <c:pt idx="40">
                  <c:v>3.202944000000002E-2</c:v>
                </c:pt>
                <c:pt idx="41">
                  <c:v>3.2004682926829238E-2</c:v>
                </c:pt>
                <c:pt idx="42">
                  <c:v>3.1711695238095264E-2</c:v>
                </c:pt>
                <c:pt idx="43">
                  <c:v>3.1590697674418612E-2</c:v>
                </c:pt>
                <c:pt idx="44">
                  <c:v>3.1270400000000038E-2</c:v>
                </c:pt>
                <c:pt idx="45">
                  <c:v>3.1014399999999998E-2</c:v>
                </c:pt>
                <c:pt idx="46">
                  <c:v>3.067046956521734E-2</c:v>
                </c:pt>
                <c:pt idx="47">
                  <c:v>3.0677787234042582E-2</c:v>
                </c:pt>
                <c:pt idx="48">
                  <c:v>3.1954133333333343E-2</c:v>
                </c:pt>
                <c:pt idx="49">
                  <c:v>3.1474155102040761E-2</c:v>
                </c:pt>
                <c:pt idx="50">
                  <c:v>3.1510015999999953E-2</c:v>
                </c:pt>
                <c:pt idx="51">
                  <c:v>3.1191090196078481E-2</c:v>
                </c:pt>
                <c:pt idx="52">
                  <c:v>3.1274338461538445E-2</c:v>
                </c:pt>
                <c:pt idx="53">
                  <c:v>3.0800905660377347E-2</c:v>
                </c:pt>
                <c:pt idx="54">
                  <c:v>3.0721422222222197E-2</c:v>
                </c:pt>
                <c:pt idx="55">
                  <c:v>3.0808669090909006E-2</c:v>
                </c:pt>
                <c:pt idx="56">
                  <c:v>3.250468571428574E-2</c:v>
                </c:pt>
                <c:pt idx="57">
                  <c:v>3.2478540350877286E-2</c:v>
                </c:pt>
                <c:pt idx="58">
                  <c:v>3.2219365517241368E-2</c:v>
                </c:pt>
                <c:pt idx="59">
                  <c:v>3.2008027118644027E-2</c:v>
                </c:pt>
                <c:pt idx="60">
                  <c:v>3.1916373333333276E-2</c:v>
                </c:pt>
                <c:pt idx="61">
                  <c:v>3.17169311475409E-2</c:v>
                </c:pt>
                <c:pt idx="62">
                  <c:v>3.1669264516129066E-2</c:v>
                </c:pt>
                <c:pt idx="63">
                  <c:v>3.1550780952380911E-2</c:v>
                </c:pt>
                <c:pt idx="64">
                  <c:v>3.2952799999999983E-2</c:v>
                </c:pt>
                <c:pt idx="65">
                  <c:v>3.274968615384611E-2</c:v>
                </c:pt>
                <c:pt idx="66">
                  <c:v>3.25519515151515E-2</c:v>
                </c:pt>
                <c:pt idx="67">
                  <c:v>3.2495379104477536E-2</c:v>
                </c:pt>
                <c:pt idx="68">
                  <c:v>3.2374211764705847E-2</c:v>
                </c:pt>
                <c:pt idx="69">
                  <c:v>3.2092568115942008E-2</c:v>
                </c:pt>
                <c:pt idx="70">
                  <c:v>3.1755337142857179E-2</c:v>
                </c:pt>
                <c:pt idx="71">
                  <c:v>3.1649712676056409E-2</c:v>
                </c:pt>
                <c:pt idx="72">
                  <c:v>3.1922488888888899E-2</c:v>
                </c:pt>
                <c:pt idx="73">
                  <c:v>3.1632306849315082E-2</c:v>
                </c:pt>
                <c:pt idx="74">
                  <c:v>3.1562378378378442E-2</c:v>
                </c:pt>
                <c:pt idx="75">
                  <c:v>3.1434922666666656E-2</c:v>
                </c:pt>
                <c:pt idx="76">
                  <c:v>3.1488673684210475E-2</c:v>
                </c:pt>
                <c:pt idx="77">
                  <c:v>3.1160685714285756E-2</c:v>
                </c:pt>
                <c:pt idx="78">
                  <c:v>3.1158810256410201E-2</c:v>
                </c:pt>
                <c:pt idx="79">
                  <c:v>3.0899686075949371E-2</c:v>
                </c:pt>
                <c:pt idx="80">
                  <c:v>3.0590720000000005E-2</c:v>
                </c:pt>
                <c:pt idx="81">
                  <c:v>3.048470123456784E-2</c:v>
                </c:pt>
                <c:pt idx="82">
                  <c:v>3.0353795121951275E-2</c:v>
                </c:pt>
                <c:pt idx="83">
                  <c:v>3.0225426506024042E-2</c:v>
                </c:pt>
                <c:pt idx="84">
                  <c:v>3.0154361904761881E-2</c:v>
                </c:pt>
                <c:pt idx="85">
                  <c:v>3.0137976470588294E-2</c:v>
                </c:pt>
                <c:pt idx="86">
                  <c:v>2.9885618604651183E-2</c:v>
                </c:pt>
                <c:pt idx="87">
                  <c:v>2.9769121839080457E-2</c:v>
                </c:pt>
                <c:pt idx="88">
                  <c:v>2.9142690909090937E-2</c:v>
                </c:pt>
                <c:pt idx="89">
                  <c:v>2.9061896629213498E-2</c:v>
                </c:pt>
                <c:pt idx="90">
                  <c:v>2.9008497777777822E-2</c:v>
                </c:pt>
                <c:pt idx="91">
                  <c:v>2.8906760439560461E-2</c:v>
                </c:pt>
                <c:pt idx="92">
                  <c:v>2.8733217391304383E-2</c:v>
                </c:pt>
                <c:pt idx="93">
                  <c:v>2.8660851612903205E-2</c:v>
                </c:pt>
                <c:pt idx="94">
                  <c:v>2.8685889361702147E-2</c:v>
                </c:pt>
                <c:pt idx="95">
                  <c:v>2.8615545263157856E-2</c:v>
                </c:pt>
                <c:pt idx="96">
                  <c:v>3.0332266666666642E-2</c:v>
                </c:pt>
                <c:pt idx="97">
                  <c:v>3.0176725773195901E-2</c:v>
                </c:pt>
                <c:pt idx="98">
                  <c:v>3.002383673469388E-2</c:v>
                </c:pt>
                <c:pt idx="99">
                  <c:v>2.9965575757575785E-2</c:v>
                </c:pt>
                <c:pt idx="100">
                  <c:v>2.9885952000000087E-2</c:v>
                </c:pt>
                <c:pt idx="101">
                  <c:v>2.9897124752475145E-2</c:v>
                </c:pt>
                <c:pt idx="102">
                  <c:v>2.9686713725490175E-2</c:v>
                </c:pt>
                <c:pt idx="103">
                  <c:v>2.9787588349514515E-2</c:v>
                </c:pt>
                <c:pt idx="104">
                  <c:v>2.9538953846153942E-2</c:v>
                </c:pt>
                <c:pt idx="105">
                  <c:v>2.9445241904761912E-2</c:v>
                </c:pt>
                <c:pt idx="106">
                  <c:v>2.926876981132066E-2</c:v>
                </c:pt>
                <c:pt idx="107">
                  <c:v>2.9221921495327138E-2</c:v>
                </c:pt>
                <c:pt idx="108">
                  <c:v>2.9175466666666764E-2</c:v>
                </c:pt>
                <c:pt idx="109">
                  <c:v>2.9068330275229259E-2</c:v>
                </c:pt>
                <c:pt idx="110">
                  <c:v>2.8963141818181735E-2</c:v>
                </c:pt>
                <c:pt idx="111">
                  <c:v>2.8981621621621573E-2</c:v>
                </c:pt>
                <c:pt idx="112">
                  <c:v>3.0006857142857207E-2</c:v>
                </c:pt>
                <c:pt idx="113">
                  <c:v>2.9855830088495652E-2</c:v>
                </c:pt>
                <c:pt idx="114">
                  <c:v>2.9826470175438564E-2</c:v>
                </c:pt>
                <c:pt idx="115">
                  <c:v>2.9640904347825989E-2</c:v>
                </c:pt>
                <c:pt idx="116">
                  <c:v>2.9516358620689735E-2</c:v>
                </c:pt>
                <c:pt idx="117">
                  <c:v>2.9471398290598295E-2</c:v>
                </c:pt>
                <c:pt idx="118">
                  <c:v>2.9408108474576231E-2</c:v>
                </c:pt>
                <c:pt idx="119">
                  <c:v>2.9478400000000095E-2</c:v>
                </c:pt>
                <c:pt idx="120">
                  <c:v>2.9942186666666735E-2</c:v>
                </c:pt>
                <c:pt idx="121">
                  <c:v>2.9951047933884208E-2</c:v>
                </c:pt>
                <c:pt idx="122">
                  <c:v>2.9830504918032737E-2</c:v>
                </c:pt>
                <c:pt idx="123">
                  <c:v>2.9840130081300792E-2</c:v>
                </c:pt>
                <c:pt idx="124">
                  <c:v>2.9740180645161225E-2</c:v>
                </c:pt>
                <c:pt idx="125">
                  <c:v>2.9624217599999975E-2</c:v>
                </c:pt>
                <c:pt idx="126">
                  <c:v>2.9545853968253929E-2</c:v>
                </c:pt>
                <c:pt idx="127">
                  <c:v>2.9450582677165271E-2</c:v>
                </c:pt>
                <c:pt idx="128">
                  <c:v>2.953360000000007E-2</c:v>
                </c:pt>
                <c:pt idx="129">
                  <c:v>2.9457364341085271E-2</c:v>
                </c:pt>
                <c:pt idx="130">
                  <c:v>2.9469341538461567E-2</c:v>
                </c:pt>
                <c:pt idx="131">
                  <c:v>2.932636335877857E-2</c:v>
                </c:pt>
                <c:pt idx="132">
                  <c:v>2.9322084848484847E-2</c:v>
                </c:pt>
                <c:pt idx="133">
                  <c:v>2.9181978947368455E-2</c:v>
                </c:pt>
                <c:pt idx="134">
                  <c:v>2.9128405970149249E-2</c:v>
                </c:pt>
                <c:pt idx="135">
                  <c:v>2.9109001481481551E-2</c:v>
                </c:pt>
                <c:pt idx="136">
                  <c:v>2.8442729411764678E-2</c:v>
                </c:pt>
                <c:pt idx="137">
                  <c:v>2.8263801459854094E-2</c:v>
                </c:pt>
                <c:pt idx="138">
                  <c:v>2.8185785507246302E-2</c:v>
                </c:pt>
                <c:pt idx="139">
                  <c:v>2.8222342446043092E-2</c:v>
                </c:pt>
                <c:pt idx="140">
                  <c:v>2.8081005714285699E-2</c:v>
                </c:pt>
                <c:pt idx="141">
                  <c:v>2.8037900709219805E-2</c:v>
                </c:pt>
                <c:pt idx="142">
                  <c:v>2.799540281690148E-2</c:v>
                </c:pt>
                <c:pt idx="143">
                  <c:v>2.8048022377622425E-2</c:v>
                </c:pt>
                <c:pt idx="144">
                  <c:v>2.824071111111108E-2</c:v>
                </c:pt>
                <c:pt idx="145">
                  <c:v>2.8120011034482809E-2</c:v>
                </c:pt>
                <c:pt idx="146">
                  <c:v>2.810897534246572E-2</c:v>
                </c:pt>
                <c:pt idx="147">
                  <c:v>2.8051765986394618E-2</c:v>
                </c:pt>
                <c:pt idx="148">
                  <c:v>2.8041340540540517E-2</c:v>
                </c:pt>
                <c:pt idx="149">
                  <c:v>2.7970577181208042E-2</c:v>
                </c:pt>
                <c:pt idx="150">
                  <c:v>2.793079466666662E-2</c:v>
                </c:pt>
                <c:pt idx="151">
                  <c:v>2.787628079470203E-2</c:v>
                </c:pt>
                <c:pt idx="152">
                  <c:v>2.8624168421052632E-2</c:v>
                </c:pt>
                <c:pt idx="153">
                  <c:v>2.8536721568627483E-2</c:v>
                </c:pt>
                <c:pt idx="154">
                  <c:v>2.8450410389610454E-2</c:v>
                </c:pt>
                <c:pt idx="155">
                  <c:v>2.839395096774194E-2</c:v>
                </c:pt>
                <c:pt idx="156">
                  <c:v>2.8309661538461574E-2</c:v>
                </c:pt>
                <c:pt idx="157">
                  <c:v>2.8369936305732479E-2</c:v>
                </c:pt>
                <c:pt idx="158">
                  <c:v>2.8272283544303799E-2</c:v>
                </c:pt>
                <c:pt idx="159">
                  <c:v>2.8190349685534622E-2</c:v>
                </c:pt>
                <c:pt idx="160">
                  <c:v>2.8109120000000019E-2</c:v>
                </c:pt>
                <c:pt idx="161">
                  <c:v>2.8057202484472056E-2</c:v>
                </c:pt>
                <c:pt idx="162">
                  <c:v>2.8089362962962969E-2</c:v>
                </c:pt>
                <c:pt idx="163">
                  <c:v>2.7996741104294537E-2</c:v>
                </c:pt>
                <c:pt idx="164">
                  <c:v>2.7987668292682913E-2</c:v>
                </c:pt>
                <c:pt idx="165">
                  <c:v>2.7923781818181767E-2</c:v>
                </c:pt>
                <c:pt idx="166">
                  <c:v>2.7915257831325316E-2</c:v>
                </c:pt>
                <c:pt idx="167">
                  <c:v>2.787985628742513E-2</c:v>
                </c:pt>
                <c:pt idx="168">
                  <c:v>2.8220647619047582E-2</c:v>
                </c:pt>
                <c:pt idx="169">
                  <c:v>2.8277169230769287E-2</c:v>
                </c:pt>
                <c:pt idx="170">
                  <c:v>2.8266767058823514E-2</c:v>
                </c:pt>
                <c:pt idx="171">
                  <c:v>2.8190615204678377E-2</c:v>
                </c:pt>
                <c:pt idx="172">
                  <c:v>2.8128148837209283E-2</c:v>
                </c:pt>
                <c:pt idx="173">
                  <c:v>2.809274450867047E-2</c:v>
                </c:pt>
                <c:pt idx="174">
                  <c:v>2.8018905747126416E-2</c:v>
                </c:pt>
                <c:pt idx="175">
                  <c:v>2.8036022857142857E-2</c:v>
                </c:pt>
                <c:pt idx="176">
                  <c:v>2.8411927272727216E-2</c:v>
                </c:pt>
                <c:pt idx="177">
                  <c:v>2.8375430508474579E-2</c:v>
                </c:pt>
                <c:pt idx="178">
                  <c:v>2.8326975280898867E-2</c:v>
                </c:pt>
                <c:pt idx="179">
                  <c:v>2.8291646927374264E-2</c:v>
                </c:pt>
                <c:pt idx="180">
                  <c:v>2.8281742222222243E-2</c:v>
                </c:pt>
                <c:pt idx="181">
                  <c:v>2.8196985635359145E-2</c:v>
                </c:pt>
                <c:pt idx="182">
                  <c:v>2.8175331868131846E-2</c:v>
                </c:pt>
                <c:pt idx="183">
                  <c:v>2.8166225136612058E-2</c:v>
                </c:pt>
                <c:pt idx="184">
                  <c:v>2.85373217391304E-2</c:v>
                </c:pt>
                <c:pt idx="185">
                  <c:v>2.8501725405405423E-2</c:v>
                </c:pt>
                <c:pt idx="186">
                  <c:v>2.8418339784946178E-2</c:v>
                </c:pt>
                <c:pt idx="187">
                  <c:v>2.8444269518716522E-2</c:v>
                </c:pt>
                <c:pt idx="188">
                  <c:v>2.8385770212765993E-2</c:v>
                </c:pt>
                <c:pt idx="189">
                  <c:v>2.8399678306878361E-2</c:v>
                </c:pt>
                <c:pt idx="190">
                  <c:v>2.8354155789473728E-2</c:v>
                </c:pt>
                <c:pt idx="191">
                  <c:v>2.8320904712041899E-2</c:v>
                </c:pt>
                <c:pt idx="192">
                  <c:v>2.867573333333328E-2</c:v>
                </c:pt>
                <c:pt idx="193">
                  <c:v>2.8640895336787563E-2</c:v>
                </c:pt>
                <c:pt idx="194">
                  <c:v>2.8629905154639229E-2</c:v>
                </c:pt>
                <c:pt idx="195">
                  <c:v>2.8584369230769274E-2</c:v>
                </c:pt>
                <c:pt idx="196">
                  <c:v>2.8527804081632704E-2</c:v>
                </c:pt>
                <c:pt idx="197">
                  <c:v>2.8563297461928969E-2</c:v>
                </c:pt>
                <c:pt idx="198">
                  <c:v>2.8541284848484803E-2</c:v>
                </c:pt>
                <c:pt idx="199">
                  <c:v>2.8565290452261298E-2</c:v>
                </c:pt>
                <c:pt idx="200">
                  <c:v>2.8735231999999996E-2</c:v>
                </c:pt>
                <c:pt idx="201">
                  <c:v>2.8690531343283681E-2</c:v>
                </c:pt>
                <c:pt idx="202">
                  <c:v>2.8690883168316739E-2</c:v>
                </c:pt>
                <c:pt idx="203">
                  <c:v>2.8646841379310357E-2</c:v>
                </c:pt>
                <c:pt idx="204">
                  <c:v>2.8591937254902056E-2</c:v>
                </c:pt>
                <c:pt idx="205">
                  <c:v>2.8570786341463355E-2</c:v>
                </c:pt>
                <c:pt idx="206">
                  <c:v>2.8549840776699038E-2</c:v>
                </c:pt>
                <c:pt idx="207">
                  <c:v>2.8594396135265678E-2</c:v>
                </c:pt>
                <c:pt idx="208">
                  <c:v>2.8920615384615409E-2</c:v>
                </c:pt>
                <c:pt idx="209">
                  <c:v>2.8919854545454603E-2</c:v>
                </c:pt>
                <c:pt idx="210">
                  <c:v>2.889764571428562E-2</c:v>
                </c:pt>
                <c:pt idx="211">
                  <c:v>2.8907677725118409E-2</c:v>
                </c:pt>
                <c:pt idx="212">
                  <c:v>2.8864241509433952E-2</c:v>
                </c:pt>
                <c:pt idx="213">
                  <c:v>2.8842606572770008E-2</c:v>
                </c:pt>
                <c:pt idx="214">
                  <c:v>2.8852755140186988E-2</c:v>
                </c:pt>
                <c:pt idx="215">
                  <c:v>2.8852331162790804E-2</c:v>
                </c:pt>
                <c:pt idx="216">
                  <c:v>2.902945185185175E-2</c:v>
                </c:pt>
                <c:pt idx="217">
                  <c:v>2.8976309677419366E-2</c:v>
                </c:pt>
                <c:pt idx="218">
                  <c:v>2.8933754128440441E-2</c:v>
                </c:pt>
                <c:pt idx="219">
                  <c:v>2.8963828310502343E-2</c:v>
                </c:pt>
                <c:pt idx="220">
                  <c:v>2.8942429090909008E-2</c:v>
                </c:pt>
                <c:pt idx="221">
                  <c:v>2.8951804524886812E-2</c:v>
                </c:pt>
                <c:pt idx="222">
                  <c:v>2.8879913513513586E-2</c:v>
                </c:pt>
                <c:pt idx="223">
                  <c:v>2.8869280717488705E-2</c:v>
                </c:pt>
                <c:pt idx="224">
                  <c:v>2.9009599999999938E-2</c:v>
                </c:pt>
                <c:pt idx="225">
                  <c:v>2.9018510222222176E-2</c:v>
                </c:pt>
                <c:pt idx="226">
                  <c:v>2.9017373451327419E-2</c:v>
                </c:pt>
                <c:pt idx="227">
                  <c:v>2.8976549779735759E-2</c:v>
                </c:pt>
                <c:pt idx="228">
                  <c:v>2.8975607017543769E-2</c:v>
                </c:pt>
                <c:pt idx="229">
                  <c:v>2.8984510043668046E-2</c:v>
                </c:pt>
                <c:pt idx="230">
                  <c:v>2.8993335652173855E-2</c:v>
                </c:pt>
                <c:pt idx="231">
                  <c:v>2.8943348917748933E-2</c:v>
                </c:pt>
                <c:pt idx="232">
                  <c:v>2.9205186206896456E-2</c:v>
                </c:pt>
                <c:pt idx="233">
                  <c:v>2.9222619742489176E-2</c:v>
                </c:pt>
                <c:pt idx="234">
                  <c:v>2.9211022222222174E-2</c:v>
                </c:pt>
                <c:pt idx="235">
                  <c:v>2.9199523404255315E-2</c:v>
                </c:pt>
                <c:pt idx="236">
                  <c:v>2.9159484745762795E-2</c:v>
                </c:pt>
                <c:pt idx="237">
                  <c:v>2.918632236286927E-2</c:v>
                </c:pt>
                <c:pt idx="238">
                  <c:v>2.9222400000000041E-2</c:v>
                </c:pt>
                <c:pt idx="239">
                  <c:v>2.921104602510469E-2</c:v>
                </c:pt>
                <c:pt idx="240">
                  <c:v>2.910570666666672E-2</c:v>
                </c:pt>
                <c:pt idx="241">
                  <c:v>2.9094931120331857E-2</c:v>
                </c:pt>
                <c:pt idx="242">
                  <c:v>2.9084244628099123E-2</c:v>
                </c:pt>
                <c:pt idx="243">
                  <c:v>2.9082916872427964E-2</c:v>
                </c:pt>
                <c:pt idx="244">
                  <c:v>2.9044459016393478E-2</c:v>
                </c:pt>
                <c:pt idx="245">
                  <c:v>2.9070889795918393E-2</c:v>
                </c:pt>
                <c:pt idx="246">
                  <c:v>2.9069632520325257E-2</c:v>
                </c:pt>
                <c:pt idx="247">
                  <c:v>2.9123316599190312E-2</c:v>
                </c:pt>
                <c:pt idx="248">
                  <c:v>2.9467458064516082E-2</c:v>
                </c:pt>
                <c:pt idx="249">
                  <c:v>2.948271807228911E-2</c:v>
                </c:pt>
                <c:pt idx="250">
                  <c:v>2.9443788800000037E-2</c:v>
                </c:pt>
                <c:pt idx="251">
                  <c:v>2.9395990438246936E-2</c:v>
                </c:pt>
                <c:pt idx="252">
                  <c:v>2.9447314285714368E-2</c:v>
                </c:pt>
                <c:pt idx="253">
                  <c:v>2.9453508300395174E-2</c:v>
                </c:pt>
                <c:pt idx="254">
                  <c:v>2.9468522834645586E-2</c:v>
                </c:pt>
                <c:pt idx="255">
                  <c:v>2.9474585098039147E-2</c:v>
                </c:pt>
                <c:pt idx="256">
                  <c:v>2.9489399999999933E-2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F9-4320-8169-A79231AD98AE}"/>
            </c:ext>
          </c:extLst>
        </c:ser>
        <c:ser>
          <c:idx val="1"/>
          <c:order val="1"/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sdia_profile!$N$2:$N$258</c:f>
              <c:numCache>
                <c:formatCode>0.00%</c:formatCode>
                <c:ptCount val="257"/>
                <c:pt idx="0">
                  <c:v>0</c:v>
                </c:pt>
                <c:pt idx="1">
                  <c:v>8.4352000000000871E-3</c:v>
                </c:pt>
                <c:pt idx="2">
                  <c:v>1.4092800000000062E-2</c:v>
                </c:pt>
                <c:pt idx="3">
                  <c:v>1.8231466666666661E-2</c:v>
                </c:pt>
                <c:pt idx="4">
                  <c:v>1.861119999999996E-2</c:v>
                </c:pt>
                <c:pt idx="5">
                  <c:v>1.9279360000000027E-2</c:v>
                </c:pt>
                <c:pt idx="6">
                  <c:v>1.9357866666666723E-2</c:v>
                </c:pt>
                <c:pt idx="7">
                  <c:v>1.9413942857142836E-2</c:v>
                </c:pt>
                <c:pt idx="8">
                  <c:v>2.2553599999999997E-2</c:v>
                </c:pt>
                <c:pt idx="9">
                  <c:v>2.2993066666666728E-2</c:v>
                </c:pt>
                <c:pt idx="10">
                  <c:v>2.2894079999999945E-2</c:v>
                </c:pt>
                <c:pt idx="11">
                  <c:v>2.2808436363636341E-2</c:v>
                </c:pt>
                <c:pt idx="12">
                  <c:v>2.1802666666666682E-2</c:v>
                </c:pt>
                <c:pt idx="13">
                  <c:v>2.1818092307692348E-2</c:v>
                </c:pt>
                <c:pt idx="14">
                  <c:v>2.2310400000000032E-2</c:v>
                </c:pt>
                <c:pt idx="15">
                  <c:v>2.1989546666666606E-2</c:v>
                </c:pt>
                <c:pt idx="16">
                  <c:v>2.2553599999999997E-2</c:v>
                </c:pt>
                <c:pt idx="17">
                  <c:v>2.2653741176470569E-2</c:v>
                </c:pt>
                <c:pt idx="18">
                  <c:v>2.2617600000000002E-2</c:v>
                </c:pt>
                <c:pt idx="19">
                  <c:v>2.2108294736842171E-2</c:v>
                </c:pt>
                <c:pt idx="20">
                  <c:v>2.2440959999999989E-2</c:v>
                </c:pt>
                <c:pt idx="21">
                  <c:v>2.1988571428571475E-2</c:v>
                </c:pt>
                <c:pt idx="22">
                  <c:v>2.2296436363636346E-2</c:v>
                </c:pt>
                <c:pt idx="23">
                  <c:v>2.2087791304347872E-2</c:v>
                </c:pt>
                <c:pt idx="24">
                  <c:v>2.0955733333333389E-2</c:v>
                </c:pt>
                <c:pt idx="25">
                  <c:v>2.0184575999999992E-2</c:v>
                </c:pt>
                <c:pt idx="26">
                  <c:v>2.0167876923076953E-2</c:v>
                </c:pt>
                <c:pt idx="27">
                  <c:v>2.0152414814814772E-2</c:v>
                </c:pt>
                <c:pt idx="28">
                  <c:v>2.0136228571428612E-2</c:v>
                </c:pt>
                <c:pt idx="29">
                  <c:v>2.0122924137931007E-2</c:v>
                </c:pt>
                <c:pt idx="30">
                  <c:v>2.0110506666666576E-2</c:v>
                </c:pt>
                <c:pt idx="31">
                  <c:v>2.0024567741935399E-2</c:v>
                </c:pt>
                <c:pt idx="32">
                  <c:v>2.1214400000000033E-2</c:v>
                </c:pt>
                <c:pt idx="33">
                  <c:v>2.1101769696969776E-2</c:v>
                </c:pt>
                <c:pt idx="34">
                  <c:v>2.0861741176470532E-2</c:v>
                </c:pt>
                <c:pt idx="35">
                  <c:v>2.0635428571428551E-2</c:v>
                </c:pt>
                <c:pt idx="36">
                  <c:v>2.0673422222222213E-2</c:v>
                </c:pt>
                <c:pt idx="37">
                  <c:v>2.0526702702702675E-2</c:v>
                </c:pt>
                <c:pt idx="38">
                  <c:v>2.056421052631573E-2</c:v>
                </c:pt>
                <c:pt idx="39">
                  <c:v>2.0485579487179471E-2</c:v>
                </c:pt>
                <c:pt idx="40">
                  <c:v>2.1200639999999993E-2</c:v>
                </c:pt>
                <c:pt idx="41">
                  <c:v>2.1164019512195171E-2</c:v>
                </c:pt>
                <c:pt idx="42">
                  <c:v>2.0969447619047597E-2</c:v>
                </c:pt>
                <c:pt idx="43">
                  <c:v>2.0573172093023315E-2</c:v>
                </c:pt>
                <c:pt idx="44">
                  <c:v>2.0759272727272689E-2</c:v>
                </c:pt>
                <c:pt idx="45">
                  <c:v>2.0786915555555525E-2</c:v>
                </c:pt>
                <c:pt idx="46">
                  <c:v>2.0665321739130479E-2</c:v>
                </c:pt>
                <c:pt idx="47">
                  <c:v>2.0454127659574523E-2</c:v>
                </c:pt>
                <c:pt idx="48">
                  <c:v>2.1331199999999956E-2</c:v>
                </c:pt>
                <c:pt idx="49">
                  <c:v>2.1298938775510239E-2</c:v>
                </c:pt>
                <c:pt idx="50">
                  <c:v>2.1313024000000041E-2</c:v>
                </c:pt>
                <c:pt idx="51">
                  <c:v>2.10605176470588E-2</c:v>
                </c:pt>
                <c:pt idx="52">
                  <c:v>2.0948676923076996E-2</c:v>
                </c:pt>
                <c:pt idx="53">
                  <c:v>2.0755079245282963E-2</c:v>
                </c:pt>
                <c:pt idx="54">
                  <c:v>2.0903348148148225E-2</c:v>
                </c:pt>
                <c:pt idx="55">
                  <c:v>2.0800465454545412E-2</c:v>
                </c:pt>
                <c:pt idx="56">
                  <c:v>2.1546971428571333E-2</c:v>
                </c:pt>
                <c:pt idx="57">
                  <c:v>2.131694035087724E-2</c:v>
                </c:pt>
                <c:pt idx="58">
                  <c:v>2.144529655172411E-2</c:v>
                </c:pt>
                <c:pt idx="59">
                  <c:v>2.1454752542372956E-2</c:v>
                </c:pt>
                <c:pt idx="60">
                  <c:v>2.1275306666666629E-2</c:v>
                </c:pt>
                <c:pt idx="61">
                  <c:v>2.1139514754098272E-2</c:v>
                </c:pt>
                <c:pt idx="62">
                  <c:v>2.1007277419354771E-2</c:v>
                </c:pt>
                <c:pt idx="63">
                  <c:v>2.1023085714285746E-2</c:v>
                </c:pt>
                <c:pt idx="64">
                  <c:v>2.1108800000000018E-2</c:v>
                </c:pt>
                <c:pt idx="65">
                  <c:v>2.1052455384615313E-2</c:v>
                </c:pt>
                <c:pt idx="66">
                  <c:v>2.1032727272727345E-2</c:v>
                </c:pt>
                <c:pt idx="67">
                  <c:v>2.1047211940298498E-2</c:v>
                </c:pt>
                <c:pt idx="68">
                  <c:v>2.0629835294117611E-2</c:v>
                </c:pt>
                <c:pt idx="69">
                  <c:v>2.0518399999999982E-2</c:v>
                </c:pt>
                <c:pt idx="70">
                  <c:v>2.0410148571428571E-2</c:v>
                </c:pt>
                <c:pt idx="71">
                  <c:v>2.0400856338028142E-2</c:v>
                </c:pt>
                <c:pt idx="72">
                  <c:v>2.0924444444444468E-2</c:v>
                </c:pt>
                <c:pt idx="73">
                  <c:v>2.0753358904109568E-2</c:v>
                </c:pt>
                <c:pt idx="74">
                  <c:v>2.0739805405405359E-2</c:v>
                </c:pt>
                <c:pt idx="75">
                  <c:v>2.0666538666666685E-2</c:v>
                </c:pt>
                <c:pt idx="76">
                  <c:v>2.0742736842105328E-2</c:v>
                </c:pt>
                <c:pt idx="77">
                  <c:v>2.0583563636363603E-2</c:v>
                </c:pt>
                <c:pt idx="78">
                  <c:v>2.0572225641025638E-2</c:v>
                </c:pt>
                <c:pt idx="79">
                  <c:v>2.0533306329113939E-2</c:v>
                </c:pt>
                <c:pt idx="80">
                  <c:v>2.1594879999999962E-2</c:v>
                </c:pt>
                <c:pt idx="81">
                  <c:v>2.1516483950617307E-2</c:v>
                </c:pt>
                <c:pt idx="82">
                  <c:v>2.1384429268292624E-2</c:v>
                </c:pt>
                <c:pt idx="83">
                  <c:v>2.1283315662650643E-2</c:v>
                </c:pt>
                <c:pt idx="84">
                  <c:v>2.1184000000000057E-2</c:v>
                </c:pt>
                <c:pt idx="85">
                  <c:v>2.1167134117647091E-2</c:v>
                </c:pt>
                <c:pt idx="86">
                  <c:v>2.1071479069767488E-2</c:v>
                </c:pt>
                <c:pt idx="87">
                  <c:v>2.1159871264367813E-2</c:v>
                </c:pt>
                <c:pt idx="88">
                  <c:v>2.1195054545454572E-2</c:v>
                </c:pt>
                <c:pt idx="89">
                  <c:v>2.1178822471910115E-2</c:v>
                </c:pt>
                <c:pt idx="90">
                  <c:v>2.1062257777777833E-2</c:v>
                </c:pt>
                <c:pt idx="91">
                  <c:v>2.092349890109892E-2</c:v>
                </c:pt>
                <c:pt idx="92">
                  <c:v>2.0910747826086956E-2</c:v>
                </c:pt>
                <c:pt idx="93">
                  <c:v>2.0776602150537598E-2</c:v>
                </c:pt>
                <c:pt idx="94">
                  <c:v>2.0789651063829816E-2</c:v>
                </c:pt>
                <c:pt idx="95">
                  <c:v>2.0707570526315784E-2</c:v>
                </c:pt>
                <c:pt idx="96">
                  <c:v>2.16138666666667E-2</c:v>
                </c:pt>
                <c:pt idx="97">
                  <c:v>2.1478004123711338E-2</c:v>
                </c:pt>
                <c:pt idx="98">
                  <c:v>2.1437387755102056E-2</c:v>
                </c:pt>
                <c:pt idx="99">
                  <c:v>2.1397074747474706E-2</c:v>
                </c:pt>
                <c:pt idx="100">
                  <c:v>2.1222911999999951E-2</c:v>
                </c:pt>
                <c:pt idx="101">
                  <c:v>2.1230130693069359E-2</c:v>
                </c:pt>
                <c:pt idx="102">
                  <c:v>2.1149364705882266E-2</c:v>
                </c:pt>
                <c:pt idx="103">
                  <c:v>2.1157654368932119E-2</c:v>
                </c:pt>
                <c:pt idx="104">
                  <c:v>2.1642830769230795E-2</c:v>
                </c:pt>
                <c:pt idx="105">
                  <c:v>2.1645775238095147E-2</c:v>
                </c:pt>
                <c:pt idx="106">
                  <c:v>2.1521630188679298E-2</c:v>
                </c:pt>
                <c:pt idx="107">
                  <c:v>2.1568239252336387E-2</c:v>
                </c:pt>
                <c:pt idx="108">
                  <c:v>2.15509333333334E-2</c:v>
                </c:pt>
                <c:pt idx="109">
                  <c:v>2.1410407339449569E-2</c:v>
                </c:pt>
                <c:pt idx="110">
                  <c:v>2.1374370909090886E-2</c:v>
                </c:pt>
                <c:pt idx="111">
                  <c:v>2.13597405405405E-2</c:v>
                </c:pt>
                <c:pt idx="112">
                  <c:v>2.1425828571428593E-2</c:v>
                </c:pt>
                <c:pt idx="113">
                  <c:v>2.1370676106194694E-2</c:v>
                </c:pt>
                <c:pt idx="114">
                  <c:v>2.1415747368421147E-2</c:v>
                </c:pt>
                <c:pt idx="115">
                  <c:v>2.1342497391304317E-2</c:v>
                </c:pt>
                <c:pt idx="116">
                  <c:v>2.1231227586206936E-2</c:v>
                </c:pt>
                <c:pt idx="117">
                  <c:v>2.1199316239316292E-2</c:v>
                </c:pt>
                <c:pt idx="118">
                  <c:v>2.1167511864406782E-2</c:v>
                </c:pt>
                <c:pt idx="119">
                  <c:v>2.1155603361344526E-2</c:v>
                </c:pt>
                <c:pt idx="120">
                  <c:v>2.0410453333333294E-2</c:v>
                </c:pt>
                <c:pt idx="121">
                  <c:v>2.0404998347107382E-2</c:v>
                </c:pt>
                <c:pt idx="122">
                  <c:v>2.0380747540983693E-2</c:v>
                </c:pt>
                <c:pt idx="123">
                  <c:v>2.0430569105691042E-2</c:v>
                </c:pt>
                <c:pt idx="124">
                  <c:v>2.0316077419354792E-2</c:v>
                </c:pt>
                <c:pt idx="125">
                  <c:v>2.023905279999999E-2</c:v>
                </c:pt>
                <c:pt idx="126">
                  <c:v>2.0306692063492109E-2</c:v>
                </c:pt>
                <c:pt idx="127">
                  <c:v>2.0266431496063022E-2</c:v>
                </c:pt>
                <c:pt idx="128">
                  <c:v>2.1055600000000042E-2</c:v>
                </c:pt>
                <c:pt idx="129">
                  <c:v>2.0975231007752015E-2</c:v>
                </c:pt>
                <c:pt idx="130">
                  <c:v>2.1017796923076905E-2</c:v>
                </c:pt>
                <c:pt idx="131">
                  <c:v>2.1008122137404547E-2</c:v>
                </c:pt>
                <c:pt idx="132">
                  <c:v>2.1015660606060534E-2</c:v>
                </c:pt>
                <c:pt idx="133">
                  <c:v>2.1022700751879703E-2</c:v>
                </c:pt>
                <c:pt idx="134">
                  <c:v>2.0912334328358182E-2</c:v>
                </c:pt>
                <c:pt idx="135">
                  <c:v>2.0953789629629682E-2</c:v>
                </c:pt>
                <c:pt idx="136">
                  <c:v>2.1176847058823549E-2</c:v>
                </c:pt>
                <c:pt idx="137">
                  <c:v>2.1149991240875944E-2</c:v>
                </c:pt>
                <c:pt idx="138">
                  <c:v>2.100888115942029E-2</c:v>
                </c:pt>
                <c:pt idx="139">
                  <c:v>2.0999827338129481E-2</c:v>
                </c:pt>
                <c:pt idx="140">
                  <c:v>2.100662857142863E-2</c:v>
                </c:pt>
                <c:pt idx="141">
                  <c:v>2.09817418439717E-2</c:v>
                </c:pt>
                <c:pt idx="142">
                  <c:v>2.0893385915492921E-2</c:v>
                </c:pt>
                <c:pt idx="143">
                  <c:v>2.0901146853146781E-2</c:v>
                </c:pt>
                <c:pt idx="144">
                  <c:v>2.1002666666666728E-2</c:v>
                </c:pt>
                <c:pt idx="145">
                  <c:v>2.0931884137931022E-2</c:v>
                </c:pt>
                <c:pt idx="146">
                  <c:v>2.0877150684931504E-2</c:v>
                </c:pt>
                <c:pt idx="147">
                  <c:v>2.0854160544217692E-2</c:v>
                </c:pt>
                <c:pt idx="148">
                  <c:v>2.0815913513513504E-2</c:v>
                </c:pt>
                <c:pt idx="149">
                  <c:v>2.088435973154364E-2</c:v>
                </c:pt>
                <c:pt idx="150">
                  <c:v>2.0771327999999964E-2</c:v>
                </c:pt>
                <c:pt idx="151">
                  <c:v>2.0824243708609282E-2</c:v>
                </c:pt>
                <c:pt idx="152">
                  <c:v>2.1025010526315818E-2</c:v>
                </c:pt>
                <c:pt idx="153">
                  <c:v>2.1046128104575134E-2</c:v>
                </c:pt>
                <c:pt idx="154">
                  <c:v>2.1037381818181877E-2</c:v>
                </c:pt>
                <c:pt idx="155">
                  <c:v>2.097094193548386E-2</c:v>
                </c:pt>
                <c:pt idx="156">
                  <c:v>2.0977558974358931E-2</c:v>
                </c:pt>
                <c:pt idx="157">
                  <c:v>2.0955067515923631E-2</c:v>
                </c:pt>
                <c:pt idx="158">
                  <c:v>2.0961701265822814E-2</c:v>
                </c:pt>
                <c:pt idx="159">
                  <c:v>2.0882918238993648E-2</c:v>
                </c:pt>
                <c:pt idx="160">
                  <c:v>2.1228480000000046E-2</c:v>
                </c:pt>
                <c:pt idx="161">
                  <c:v>2.1121033540372671E-2</c:v>
                </c:pt>
                <c:pt idx="162">
                  <c:v>2.1196009876543211E-2</c:v>
                </c:pt>
                <c:pt idx="163">
                  <c:v>2.1090080981595045E-2</c:v>
                </c:pt>
                <c:pt idx="164">
                  <c:v>2.106817560975606E-2</c:v>
                </c:pt>
                <c:pt idx="165">
                  <c:v>2.1059878787878832E-2</c:v>
                </c:pt>
                <c:pt idx="166">
                  <c:v>2.1038419277108488E-2</c:v>
                </c:pt>
                <c:pt idx="167">
                  <c:v>2.1044196407185651E-2</c:v>
                </c:pt>
                <c:pt idx="168">
                  <c:v>2.1076723809523759E-2</c:v>
                </c:pt>
                <c:pt idx="169">
                  <c:v>2.1041912426035439E-2</c:v>
                </c:pt>
                <c:pt idx="170">
                  <c:v>2.1007811764705848E-2</c:v>
                </c:pt>
                <c:pt idx="171">
                  <c:v>2.0986984795321701E-2</c:v>
                </c:pt>
                <c:pt idx="172">
                  <c:v>2.0940502325581378E-2</c:v>
                </c:pt>
                <c:pt idx="173">
                  <c:v>2.0972689017341083E-2</c:v>
                </c:pt>
                <c:pt idx="174">
                  <c:v>2.0926528735632232E-2</c:v>
                </c:pt>
                <c:pt idx="175">
                  <c:v>2.0932681142857162E-2</c:v>
                </c:pt>
                <c:pt idx="176">
                  <c:v>2.1182254545454592E-2</c:v>
                </c:pt>
                <c:pt idx="177">
                  <c:v>2.1173875706214682E-2</c:v>
                </c:pt>
                <c:pt idx="178">
                  <c:v>2.1191191011235899E-2</c:v>
                </c:pt>
                <c:pt idx="179">
                  <c:v>2.1183141899441402E-2</c:v>
                </c:pt>
                <c:pt idx="180">
                  <c:v>2.1200213333333346E-2</c:v>
                </c:pt>
                <c:pt idx="181">
                  <c:v>2.114213480662987E-2</c:v>
                </c:pt>
                <c:pt idx="182">
                  <c:v>2.1159243956043947E-2</c:v>
                </c:pt>
                <c:pt idx="183">
                  <c:v>2.1151545355191235E-2</c:v>
                </c:pt>
                <c:pt idx="184">
                  <c:v>2.1278608695652186E-2</c:v>
                </c:pt>
                <c:pt idx="185">
                  <c:v>2.1258170810810828E-2</c:v>
                </c:pt>
                <c:pt idx="186">
                  <c:v>2.126190107526877E-2</c:v>
                </c:pt>
                <c:pt idx="187">
                  <c:v>2.1289959358288778E-2</c:v>
                </c:pt>
                <c:pt idx="188">
                  <c:v>2.1281770212765956E-2</c:v>
                </c:pt>
                <c:pt idx="189">
                  <c:v>2.1225718518518542E-2</c:v>
                </c:pt>
                <c:pt idx="190">
                  <c:v>2.1229810526315784E-2</c:v>
                </c:pt>
                <c:pt idx="191">
                  <c:v>2.1245654450261726E-2</c:v>
                </c:pt>
                <c:pt idx="192">
                  <c:v>2.0990933333333336E-2</c:v>
                </c:pt>
                <c:pt idx="193">
                  <c:v>2.0949488082901601E-2</c:v>
                </c:pt>
                <c:pt idx="194">
                  <c:v>2.0989756701030891E-2</c:v>
                </c:pt>
                <c:pt idx="195">
                  <c:v>2.0994691282051298E-2</c:v>
                </c:pt>
                <c:pt idx="196">
                  <c:v>2.0999836734693869E-2</c:v>
                </c:pt>
                <c:pt idx="197">
                  <c:v>2.0982058883248729E-2</c:v>
                </c:pt>
                <c:pt idx="198">
                  <c:v>2.094144646464647E-2</c:v>
                </c:pt>
                <c:pt idx="199">
                  <c:v>2.0969423115577947E-2</c:v>
                </c:pt>
                <c:pt idx="200">
                  <c:v>2.1155072000000018E-2</c:v>
                </c:pt>
                <c:pt idx="201">
                  <c:v>2.1170499502487651E-2</c:v>
                </c:pt>
                <c:pt idx="202">
                  <c:v>2.116321584158409E-2</c:v>
                </c:pt>
                <c:pt idx="203">
                  <c:v>2.1222841379310277E-2</c:v>
                </c:pt>
                <c:pt idx="204">
                  <c:v>2.1171450980392258E-2</c:v>
                </c:pt>
                <c:pt idx="205">
                  <c:v>2.1186497560975556E-2</c:v>
                </c:pt>
                <c:pt idx="206">
                  <c:v>2.1212085436893166E-2</c:v>
                </c:pt>
                <c:pt idx="207">
                  <c:v>2.1215907246376859E-2</c:v>
                </c:pt>
                <c:pt idx="208">
                  <c:v>2.1306338461538461E-2</c:v>
                </c:pt>
                <c:pt idx="209">
                  <c:v>2.1266556937798973E-2</c:v>
                </c:pt>
                <c:pt idx="210">
                  <c:v>2.1259337142857174E-2</c:v>
                </c:pt>
                <c:pt idx="211">
                  <c:v>2.1241266350710795E-2</c:v>
                </c:pt>
                <c:pt idx="212">
                  <c:v>2.1255486792452791E-2</c:v>
                </c:pt>
                <c:pt idx="213">
                  <c:v>2.1280150234741793E-2</c:v>
                </c:pt>
                <c:pt idx="214">
                  <c:v>2.1262235514018783E-2</c:v>
                </c:pt>
                <c:pt idx="215">
                  <c:v>2.1276159999999943E-2</c:v>
                </c:pt>
                <c:pt idx="216">
                  <c:v>2.1572029629629695E-2</c:v>
                </c:pt>
                <c:pt idx="217">
                  <c:v>2.1594779723502211E-2</c:v>
                </c:pt>
                <c:pt idx="218">
                  <c:v>2.1544748623853242E-2</c:v>
                </c:pt>
                <c:pt idx="219">
                  <c:v>2.1577702283105085E-2</c:v>
                </c:pt>
                <c:pt idx="220">
                  <c:v>2.1589876363636285E-2</c:v>
                </c:pt>
                <c:pt idx="221">
                  <c:v>2.1560933936651597E-2</c:v>
                </c:pt>
                <c:pt idx="222">
                  <c:v>2.1593369369369415E-2</c:v>
                </c:pt>
                <c:pt idx="223">
                  <c:v>2.157500269058291E-2</c:v>
                </c:pt>
                <c:pt idx="224">
                  <c:v>2.2110628571428492E-2</c:v>
                </c:pt>
                <c:pt idx="225">
                  <c:v>2.2140188444444396E-2</c:v>
                </c:pt>
                <c:pt idx="226">
                  <c:v>2.2149550442477892E-2</c:v>
                </c:pt>
                <c:pt idx="227">
                  <c:v>2.2168528634361261E-2</c:v>
                </c:pt>
                <c:pt idx="228">
                  <c:v>2.2217431578947431E-2</c:v>
                </c:pt>
                <c:pt idx="229">
                  <c:v>2.2226110043668212E-2</c:v>
                </c:pt>
                <c:pt idx="230">
                  <c:v>2.2185961739130462E-2</c:v>
                </c:pt>
                <c:pt idx="231">
                  <c:v>2.218517056277047E-2</c:v>
                </c:pt>
                <c:pt idx="232">
                  <c:v>2.2398234482758701E-2</c:v>
                </c:pt>
                <c:pt idx="233">
                  <c:v>2.2444882403433557E-2</c:v>
                </c:pt>
                <c:pt idx="234">
                  <c:v>2.2452622222222166E-2</c:v>
                </c:pt>
                <c:pt idx="235">
                  <c:v>2.2479251063829732E-2</c:v>
                </c:pt>
                <c:pt idx="236">
                  <c:v>2.2496325423728803E-2</c:v>
                </c:pt>
                <c:pt idx="237">
                  <c:v>2.2503750210970511E-2</c:v>
                </c:pt>
                <c:pt idx="238">
                  <c:v>2.2520578151260597E-2</c:v>
                </c:pt>
                <c:pt idx="239">
                  <c:v>2.2499561506276154E-2</c:v>
                </c:pt>
                <c:pt idx="240">
                  <c:v>2.2525653333333368E-2</c:v>
                </c:pt>
                <c:pt idx="241">
                  <c:v>2.2513925311203407E-2</c:v>
                </c:pt>
                <c:pt idx="242">
                  <c:v>2.256766942148768E-2</c:v>
                </c:pt>
                <c:pt idx="243">
                  <c:v>2.2574617283950563E-2</c:v>
                </c:pt>
                <c:pt idx="244">
                  <c:v>2.2599973770491777E-2</c:v>
                </c:pt>
                <c:pt idx="245">
                  <c:v>2.2597537959183719E-2</c:v>
                </c:pt>
                <c:pt idx="246">
                  <c:v>2.2677541463414625E-2</c:v>
                </c:pt>
                <c:pt idx="247">
                  <c:v>2.2665690688259185E-2</c:v>
                </c:pt>
                <c:pt idx="248">
                  <c:v>2.2508180645161247E-2</c:v>
                </c:pt>
                <c:pt idx="249">
                  <c:v>2.2533294779116451E-2</c:v>
                </c:pt>
                <c:pt idx="250">
                  <c:v>2.2513152000000081E-2</c:v>
                </c:pt>
                <c:pt idx="251">
                  <c:v>2.2591898007968157E-2</c:v>
                </c:pt>
                <c:pt idx="252">
                  <c:v>2.2625320634920676E-2</c:v>
                </c:pt>
                <c:pt idx="253">
                  <c:v>2.2676287747035603E-2</c:v>
                </c:pt>
                <c:pt idx="254">
                  <c:v>2.2700245669291397E-2</c:v>
                </c:pt>
                <c:pt idx="255">
                  <c:v>2.2706346666666599E-2</c:v>
                </c:pt>
                <c:pt idx="256">
                  <c:v>2.2721199999999976E-2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FF9-4320-8169-A79231AD98AE}"/>
            </c:ext>
          </c:extLst>
        </c:ser>
        <c:ser>
          <c:idx val="2"/>
          <c:order val="2"/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sdia_profile!$O$2:$O$258</c:f>
              <c:numCache>
                <c:formatCode>0.00%</c:formatCode>
                <c:ptCount val="257"/>
                <c:pt idx="0">
                  <c:v>0</c:v>
                </c:pt>
                <c:pt idx="1">
                  <c:v>-0.12524427074080652</c:v>
                </c:pt>
                <c:pt idx="2">
                  <c:v>-7.3206681952178179E-2</c:v>
                </c:pt>
                <c:pt idx="3">
                  <c:v>-4.5804945142820561E-2</c:v>
                </c:pt>
                <c:pt idx="4">
                  <c:v>-3.7820257052002919E-2</c:v>
                </c:pt>
                <c:pt idx="5">
                  <c:v>-3.0892203442635675E-2</c:v>
                </c:pt>
                <c:pt idx="6">
                  <c:v>-2.7619272440150049E-2</c:v>
                </c:pt>
                <c:pt idx="7">
                  <c:v>-2.3766162811874023E-2</c:v>
                </c:pt>
                <c:pt idx="8">
                  <c:v>-1.4671328930084503E-2</c:v>
                </c:pt>
                <c:pt idx="9">
                  <c:v>-1.353338087662514E-2</c:v>
                </c:pt>
                <c:pt idx="10">
                  <c:v>-1.198277013159786E-2</c:v>
                </c:pt>
                <c:pt idx="11">
                  <c:v>-1.1106510899501367E-2</c:v>
                </c:pt>
                <c:pt idx="12">
                  <c:v>-1.1817667908677177E-2</c:v>
                </c:pt>
                <c:pt idx="13">
                  <c:v>-1.0752442177026337E-2</c:v>
                </c:pt>
                <c:pt idx="14">
                  <c:v>-9.9908272801646752E-3</c:v>
                </c:pt>
                <c:pt idx="15">
                  <c:v>-9.9071780745816039E-3</c:v>
                </c:pt>
                <c:pt idx="16">
                  <c:v>-9.2886551912297194E-3</c:v>
                </c:pt>
                <c:pt idx="17">
                  <c:v>-8.4914778617127835E-3</c:v>
                </c:pt>
                <c:pt idx="18">
                  <c:v>-8.1442121467944859E-3</c:v>
                </c:pt>
                <c:pt idx="19">
                  <c:v>-8.1819536800487227E-3</c:v>
                </c:pt>
                <c:pt idx="20">
                  <c:v>-7.9904025752096965E-3</c:v>
                </c:pt>
                <c:pt idx="21">
                  <c:v>-7.7195125415446568E-3</c:v>
                </c:pt>
                <c:pt idx="22">
                  <c:v>-7.1715776792837501E-3</c:v>
                </c:pt>
                <c:pt idx="23">
                  <c:v>-7.4300982753178228E-3</c:v>
                </c:pt>
                <c:pt idx="24">
                  <c:v>-8.0381220061726318E-3</c:v>
                </c:pt>
                <c:pt idx="25">
                  <c:v>-8.072625753946322E-3</c:v>
                </c:pt>
                <c:pt idx="26">
                  <c:v>-8.0154718137255346E-3</c:v>
                </c:pt>
                <c:pt idx="27">
                  <c:v>-7.8820459386439706E-3</c:v>
                </c:pt>
                <c:pt idx="28">
                  <c:v>-8.0703950386361231E-3</c:v>
                </c:pt>
                <c:pt idx="29">
                  <c:v>-7.7926716602959118E-3</c:v>
                </c:pt>
                <c:pt idx="30">
                  <c:v>-7.6074666737507299E-3</c:v>
                </c:pt>
                <c:pt idx="31">
                  <c:v>-7.5064602805241685E-3</c:v>
                </c:pt>
                <c:pt idx="32">
                  <c:v>-7.7405252799118765E-3</c:v>
                </c:pt>
                <c:pt idx="33">
                  <c:v>-7.9035236480120563E-3</c:v>
                </c:pt>
                <c:pt idx="34">
                  <c:v>-7.8677929786973178E-3</c:v>
                </c:pt>
                <c:pt idx="35">
                  <c:v>-7.894751810161936E-3</c:v>
                </c:pt>
                <c:pt idx="36">
                  <c:v>-7.7975835786207662E-3</c:v>
                </c:pt>
                <c:pt idx="37">
                  <c:v>-7.9419527195538579E-3</c:v>
                </c:pt>
                <c:pt idx="38">
                  <c:v>-7.6211862952283698E-3</c:v>
                </c:pt>
                <c:pt idx="39">
                  <c:v>-7.2591943622471091E-3</c:v>
                </c:pt>
                <c:pt idx="40">
                  <c:v>-1.0492723928495712E-2</c:v>
                </c:pt>
                <c:pt idx="41">
                  <c:v>-1.0504471146283247E-2</c:v>
                </c:pt>
                <c:pt idx="42">
                  <c:v>-1.0412063436548141E-2</c:v>
                </c:pt>
                <c:pt idx="43">
                  <c:v>-1.068013273697874E-2</c:v>
                </c:pt>
                <c:pt idx="44">
                  <c:v>-1.0192406640127896E-2</c:v>
                </c:pt>
                <c:pt idx="45">
                  <c:v>-9.9198269630807016E-3</c:v>
                </c:pt>
                <c:pt idx="46">
                  <c:v>-9.7074167947272978E-3</c:v>
                </c:pt>
                <c:pt idx="47">
                  <c:v>-9.9193556910783676E-3</c:v>
                </c:pt>
                <c:pt idx="48">
                  <c:v>-1.0293997562682426E-2</c:v>
                </c:pt>
                <c:pt idx="49">
                  <c:v>-9.8647322147629741E-3</c:v>
                </c:pt>
                <c:pt idx="50">
                  <c:v>-9.8854997448710284E-3</c:v>
                </c:pt>
                <c:pt idx="51">
                  <c:v>-9.8241467031036662E-3</c:v>
                </c:pt>
                <c:pt idx="52">
                  <c:v>-1.0012526399003916E-2</c:v>
                </c:pt>
                <c:pt idx="53">
                  <c:v>-9.7456515219673558E-3</c:v>
                </c:pt>
                <c:pt idx="54">
                  <c:v>-9.5254390394897675E-3</c:v>
                </c:pt>
                <c:pt idx="55">
                  <c:v>-9.7090798093404009E-3</c:v>
                </c:pt>
                <c:pt idx="56">
                  <c:v>-1.0612750176657913E-2</c:v>
                </c:pt>
                <c:pt idx="57">
                  <c:v>-1.0810491030842043E-2</c:v>
                </c:pt>
                <c:pt idx="58">
                  <c:v>-1.0437770618766112E-2</c:v>
                </c:pt>
                <c:pt idx="59">
                  <c:v>-1.0225961716340236E-2</c:v>
                </c:pt>
                <c:pt idx="60">
                  <c:v>-1.031194672519198E-2</c:v>
                </c:pt>
                <c:pt idx="61">
                  <c:v>-1.0252246594109638E-2</c:v>
                </c:pt>
                <c:pt idx="62">
                  <c:v>-1.0334694909976743E-2</c:v>
                </c:pt>
                <c:pt idx="63">
                  <c:v>-1.0205697511445296E-2</c:v>
                </c:pt>
                <c:pt idx="64">
                  <c:v>-1.1466157989019407E-2</c:v>
                </c:pt>
                <c:pt idx="65">
                  <c:v>-1.1326298062402205E-2</c:v>
                </c:pt>
                <c:pt idx="66">
                  <c:v>-1.11560723172534E-2</c:v>
                </c:pt>
                <c:pt idx="67">
                  <c:v>-1.1087862857176627E-2</c:v>
                </c:pt>
                <c:pt idx="68">
                  <c:v>-1.1376084695599663E-2</c:v>
                </c:pt>
                <c:pt idx="69">
                  <c:v>-1.1214273286620377E-2</c:v>
                </c:pt>
                <c:pt idx="70">
                  <c:v>-1.0996006672323859E-2</c:v>
                </c:pt>
                <c:pt idx="71">
                  <c:v>-1.0903755606008172E-2</c:v>
                </c:pt>
                <c:pt idx="72">
                  <c:v>-1.0657820294513062E-2</c:v>
                </c:pt>
                <c:pt idx="73">
                  <c:v>-1.0545373456198425E-2</c:v>
                </c:pt>
                <c:pt idx="74">
                  <c:v>-1.0491438229829807E-2</c:v>
                </c:pt>
                <c:pt idx="75">
                  <c:v>-1.0440197208137421E-2</c:v>
                </c:pt>
                <c:pt idx="76">
                  <c:v>-1.0417891263627202E-2</c:v>
                </c:pt>
                <c:pt idx="77">
                  <c:v>-1.0257491605777595E-2</c:v>
                </c:pt>
                <c:pt idx="78">
                  <c:v>-1.0266686867323647E-2</c:v>
                </c:pt>
                <c:pt idx="79">
                  <c:v>-1.0055662919342193E-2</c:v>
                </c:pt>
                <c:pt idx="80">
                  <c:v>-8.7288191378242213E-3</c:v>
                </c:pt>
                <c:pt idx="81">
                  <c:v>-8.7029116232450604E-3</c:v>
                </c:pt>
                <c:pt idx="82">
                  <c:v>-8.7051320586411275E-3</c:v>
                </c:pt>
                <c:pt idx="83">
                  <c:v>-8.6797613544642108E-3</c:v>
                </c:pt>
                <c:pt idx="84">
                  <c:v>-8.7077842277690984E-3</c:v>
                </c:pt>
                <c:pt idx="85">
                  <c:v>-8.7083891263544082E-3</c:v>
                </c:pt>
                <c:pt idx="86">
                  <c:v>-8.5583674299924712E-3</c:v>
                </c:pt>
                <c:pt idx="87">
                  <c:v>-8.3603697101902342E-3</c:v>
                </c:pt>
                <c:pt idx="88">
                  <c:v>-7.7225796129551669E-3</c:v>
                </c:pt>
                <c:pt idx="89">
                  <c:v>-7.6604470373697773E-3</c:v>
                </c:pt>
                <c:pt idx="90">
                  <c:v>-7.7222297164313992E-3</c:v>
                </c:pt>
                <c:pt idx="91">
                  <c:v>-7.7589747151151035E-3</c:v>
                </c:pt>
                <c:pt idx="92">
                  <c:v>-7.6039826778937945E-3</c:v>
                </c:pt>
                <c:pt idx="93">
                  <c:v>-7.664576181744826E-3</c:v>
                </c:pt>
                <c:pt idx="94">
                  <c:v>-7.6760441447990824E-3</c:v>
                </c:pt>
                <c:pt idx="95">
                  <c:v>-7.6879790250680285E-3</c:v>
                </c:pt>
                <c:pt idx="96">
                  <c:v>-8.4617363563753364E-3</c:v>
                </c:pt>
                <c:pt idx="97">
                  <c:v>-8.4439120316523991E-3</c:v>
                </c:pt>
                <c:pt idx="98">
                  <c:v>-8.3361653132338724E-3</c:v>
                </c:pt>
                <c:pt idx="99">
                  <c:v>-8.3192110608149676E-3</c:v>
                </c:pt>
                <c:pt idx="100">
                  <c:v>-8.4116498367385606E-3</c:v>
                </c:pt>
                <c:pt idx="101">
                  <c:v>-8.4153978597510948E-3</c:v>
                </c:pt>
                <c:pt idx="102">
                  <c:v>-8.2912102349258134E-3</c:v>
                </c:pt>
                <c:pt idx="103">
                  <c:v>-8.3803049077470094E-3</c:v>
                </c:pt>
                <c:pt idx="104">
                  <c:v>-7.669571945213719E-3</c:v>
                </c:pt>
                <c:pt idx="105">
                  <c:v>-7.5763783727200188E-3</c:v>
                </c:pt>
                <c:pt idx="106">
                  <c:v>-7.5268383243198176E-3</c:v>
                </c:pt>
                <c:pt idx="107">
                  <c:v>-7.4363770175735616E-3</c:v>
                </c:pt>
                <c:pt idx="108">
                  <c:v>-7.4083900950612427E-3</c:v>
                </c:pt>
                <c:pt idx="109">
                  <c:v>-7.4416078218358384E-3</c:v>
                </c:pt>
                <c:pt idx="110">
                  <c:v>-7.3751630167057918E-3</c:v>
                </c:pt>
                <c:pt idx="111">
                  <c:v>-7.4072081764389383E-3</c:v>
                </c:pt>
                <c:pt idx="112">
                  <c:v>-8.3310402371801536E-3</c:v>
                </c:pt>
                <c:pt idx="113">
                  <c:v>-8.2391668177203281E-3</c:v>
                </c:pt>
                <c:pt idx="114">
                  <c:v>-8.1671262592275251E-3</c:v>
                </c:pt>
                <c:pt idx="115">
                  <c:v>-8.0595156247972484E-3</c:v>
                </c:pt>
                <c:pt idx="116">
                  <c:v>-8.0475953248406173E-3</c:v>
                </c:pt>
                <c:pt idx="117">
                  <c:v>-8.0352713684105365E-3</c:v>
                </c:pt>
                <c:pt idx="118">
                  <c:v>-8.0051794252725857E-3</c:v>
                </c:pt>
                <c:pt idx="119">
                  <c:v>-8.0844791290964127E-3</c:v>
                </c:pt>
                <c:pt idx="120">
                  <c:v>-9.2546294896242703E-3</c:v>
                </c:pt>
                <c:pt idx="121">
                  <c:v>-9.2684498024702376E-3</c:v>
                </c:pt>
                <c:pt idx="122">
                  <c:v>-9.1760317177642537E-3</c:v>
                </c:pt>
                <c:pt idx="123">
                  <c:v>-9.1369142653888544E-3</c:v>
                </c:pt>
                <c:pt idx="124">
                  <c:v>-9.1519233714877149E-3</c:v>
                </c:pt>
                <c:pt idx="125">
                  <c:v>-9.1151360268859165E-3</c:v>
                </c:pt>
                <c:pt idx="126">
                  <c:v>-8.9740169115835287E-3</c:v>
                </c:pt>
                <c:pt idx="127">
                  <c:v>-8.9214104451892755E-3</c:v>
                </c:pt>
                <c:pt idx="128">
                  <c:v>-8.2347968050775905E-3</c:v>
                </c:pt>
                <c:pt idx="129">
                  <c:v>-8.2394216867469131E-3</c:v>
                </c:pt>
                <c:pt idx="130">
                  <c:v>-8.2096127338328381E-3</c:v>
                </c:pt>
                <c:pt idx="131">
                  <c:v>-8.0812476173551997E-3</c:v>
                </c:pt>
                <c:pt idx="132">
                  <c:v>-8.0698008569854117E-3</c:v>
                </c:pt>
                <c:pt idx="133">
                  <c:v>-7.92792563646901E-3</c:v>
                </c:pt>
                <c:pt idx="134">
                  <c:v>-7.983524304769193E-3</c:v>
                </c:pt>
                <c:pt idx="135">
                  <c:v>-7.9245365069315465E-3</c:v>
                </c:pt>
                <c:pt idx="136">
                  <c:v>-7.0649362819619269E-3</c:v>
                </c:pt>
                <c:pt idx="137">
                  <c:v>-6.9182735100452655E-3</c:v>
                </c:pt>
                <c:pt idx="138">
                  <c:v>-6.9801629715055364E-3</c:v>
                </c:pt>
                <c:pt idx="139">
                  <c:v>-7.0242736514866391E-3</c:v>
                </c:pt>
                <c:pt idx="140">
                  <c:v>-6.8811475978412485E-3</c:v>
                </c:pt>
                <c:pt idx="141">
                  <c:v>-6.8637147136114589E-3</c:v>
                </c:pt>
                <c:pt idx="142">
                  <c:v>-6.9086076474152418E-3</c:v>
                </c:pt>
                <c:pt idx="143">
                  <c:v>-6.9518887920689536E-3</c:v>
                </c:pt>
                <c:pt idx="144">
                  <c:v>-7.0392509907752643E-3</c:v>
                </c:pt>
                <c:pt idx="145">
                  <c:v>-6.9915251326731548E-3</c:v>
                </c:pt>
                <c:pt idx="146">
                  <c:v>-7.0341032234693592E-3</c:v>
                </c:pt>
                <c:pt idx="147">
                  <c:v>-7.0012091611660913E-3</c:v>
                </c:pt>
                <c:pt idx="148">
                  <c:v>-7.0283428711416501E-3</c:v>
                </c:pt>
                <c:pt idx="149">
                  <c:v>-6.8934049348916933E-3</c:v>
                </c:pt>
                <c:pt idx="150">
                  <c:v>-6.9649306196613156E-3</c:v>
                </c:pt>
                <c:pt idx="151">
                  <c:v>-6.8607839463329847E-3</c:v>
                </c:pt>
                <c:pt idx="152">
                  <c:v>-7.3876913726435081E-3</c:v>
                </c:pt>
                <c:pt idx="153">
                  <c:v>-7.2827671652096193E-3</c:v>
                </c:pt>
                <c:pt idx="154">
                  <c:v>-7.2079591748330177E-3</c:v>
                </c:pt>
                <c:pt idx="155">
                  <c:v>-7.2180597963191649E-3</c:v>
                </c:pt>
                <c:pt idx="156">
                  <c:v>-7.1302476659929788E-3</c:v>
                </c:pt>
                <c:pt idx="157">
                  <c:v>-7.2103126783788244E-3</c:v>
                </c:pt>
                <c:pt idx="158">
                  <c:v>-7.1095782658679467E-3</c:v>
                </c:pt>
                <c:pt idx="159">
                  <c:v>-7.1070803657862641E-3</c:v>
                </c:pt>
                <c:pt idx="160">
                  <c:v>-6.6925191753964509E-3</c:v>
                </c:pt>
                <c:pt idx="161">
                  <c:v>-6.7468706287325013E-3</c:v>
                </c:pt>
                <c:pt idx="162">
                  <c:v>-6.7050135277667445E-3</c:v>
                </c:pt>
                <c:pt idx="163">
                  <c:v>-6.7185622741179332E-3</c:v>
                </c:pt>
                <c:pt idx="164">
                  <c:v>-6.7311047557788144E-3</c:v>
                </c:pt>
                <c:pt idx="165">
                  <c:v>-6.6774435534141738E-3</c:v>
                </c:pt>
                <c:pt idx="166">
                  <c:v>-6.6900831579496563E-3</c:v>
                </c:pt>
                <c:pt idx="167">
                  <c:v>-6.6502518153522721E-3</c:v>
                </c:pt>
                <c:pt idx="168">
                  <c:v>-6.9478509559852989E-3</c:v>
                </c:pt>
                <c:pt idx="169">
                  <c:v>-7.0362904295019797E-3</c:v>
                </c:pt>
                <c:pt idx="170">
                  <c:v>-7.0594086346684468E-3</c:v>
                </c:pt>
                <c:pt idx="171">
                  <c:v>-7.0061234783033617E-3</c:v>
                </c:pt>
                <c:pt idx="172">
                  <c:v>-6.9910025513424375E-3</c:v>
                </c:pt>
                <c:pt idx="173">
                  <c:v>-6.925499211388843E-3</c:v>
                </c:pt>
                <c:pt idx="174">
                  <c:v>-6.8990725480283883E-3</c:v>
                </c:pt>
                <c:pt idx="175">
                  <c:v>-6.909623355944197E-3</c:v>
                </c:pt>
                <c:pt idx="176">
                  <c:v>-7.0299386224012264E-3</c:v>
                </c:pt>
                <c:pt idx="177">
                  <c:v>-7.002846031336169E-3</c:v>
                </c:pt>
                <c:pt idx="178">
                  <c:v>-6.9392172345899518E-3</c:v>
                </c:pt>
                <c:pt idx="179">
                  <c:v>-6.9129269397195815E-3</c:v>
                </c:pt>
                <c:pt idx="180">
                  <c:v>-6.8867593365851149E-3</c:v>
                </c:pt>
                <c:pt idx="181">
                  <c:v>-6.8613805791016107E-3</c:v>
                </c:pt>
                <c:pt idx="182">
                  <c:v>-6.8238243951448414E-3</c:v>
                </c:pt>
                <c:pt idx="183">
                  <c:v>-6.822515280045096E-3</c:v>
                </c:pt>
                <c:pt idx="184">
                  <c:v>-7.0573161421158938E-3</c:v>
                </c:pt>
                <c:pt idx="185">
                  <c:v>-7.0428220154316193E-3</c:v>
                </c:pt>
                <c:pt idx="186">
                  <c:v>-6.9586844505066889E-3</c:v>
                </c:pt>
                <c:pt idx="187">
                  <c:v>-6.9564393253664222E-3</c:v>
                </c:pt>
                <c:pt idx="188">
                  <c:v>-6.907913553228443E-3</c:v>
                </c:pt>
                <c:pt idx="189">
                  <c:v>-6.9758479506438383E-3</c:v>
                </c:pt>
                <c:pt idx="190">
                  <c:v>-6.927910217553933E-3</c:v>
                </c:pt>
                <c:pt idx="191">
                  <c:v>-6.8803913538657818E-3</c:v>
                </c:pt>
                <c:pt idx="192">
                  <c:v>-7.470575761613453E-3</c:v>
                </c:pt>
                <c:pt idx="193">
                  <c:v>-7.477252060222356E-3</c:v>
                </c:pt>
                <c:pt idx="194">
                  <c:v>-7.4274998377183614E-3</c:v>
                </c:pt>
                <c:pt idx="195">
                  <c:v>-7.3787607276143462E-3</c:v>
                </c:pt>
                <c:pt idx="196">
                  <c:v>-7.3191675685039164E-3</c:v>
                </c:pt>
                <c:pt idx="197">
                  <c:v>-7.3707068854076529E-3</c:v>
                </c:pt>
                <c:pt idx="198">
                  <c:v>-7.3889483055197651E-3</c:v>
                </c:pt>
                <c:pt idx="199">
                  <c:v>-7.3849150921118873E-3</c:v>
                </c:pt>
                <c:pt idx="200">
                  <c:v>-7.3684265535099106E-3</c:v>
                </c:pt>
                <c:pt idx="201">
                  <c:v>-7.3102955764317492E-3</c:v>
                </c:pt>
                <c:pt idx="202">
                  <c:v>-7.3177156032994206E-3</c:v>
                </c:pt>
                <c:pt idx="203">
                  <c:v>-7.2172486234879756E-3</c:v>
                </c:pt>
                <c:pt idx="204">
                  <c:v>-7.2142178115001893E-3</c:v>
                </c:pt>
                <c:pt idx="205">
                  <c:v>-7.179174130302759E-3</c:v>
                </c:pt>
                <c:pt idx="206">
                  <c:v>-7.1340785335835934E-3</c:v>
                </c:pt>
                <c:pt idx="207">
                  <c:v>-7.1733706858718958E-3</c:v>
                </c:pt>
                <c:pt idx="208">
                  <c:v>-7.4002569384137521E-3</c:v>
                </c:pt>
                <c:pt idx="209">
                  <c:v>-7.4381863406033921E-3</c:v>
                </c:pt>
                <c:pt idx="210">
                  <c:v>-7.4237788406306925E-3</c:v>
                </c:pt>
                <c:pt idx="211">
                  <c:v>-7.4510196982471742E-3</c:v>
                </c:pt>
                <c:pt idx="212">
                  <c:v>-7.3952951322503449E-3</c:v>
                </c:pt>
                <c:pt idx="213">
                  <c:v>-7.3504501949232994E-3</c:v>
                </c:pt>
                <c:pt idx="214">
                  <c:v>-7.3776539823076567E-3</c:v>
                </c:pt>
                <c:pt idx="215">
                  <c:v>-7.3637109362705176E-3</c:v>
                </c:pt>
                <c:pt idx="216">
                  <c:v>-7.2470444930430346E-3</c:v>
                </c:pt>
                <c:pt idx="217">
                  <c:v>-7.1736636543471462E-3</c:v>
                </c:pt>
                <c:pt idx="218">
                  <c:v>-7.1812256862406705E-3</c:v>
                </c:pt>
                <c:pt idx="219">
                  <c:v>-7.1782173718631468E-3</c:v>
                </c:pt>
                <c:pt idx="220">
                  <c:v>-7.1457377200091253E-3</c:v>
                </c:pt>
                <c:pt idx="221">
                  <c:v>-7.1829123149727211E-3</c:v>
                </c:pt>
                <c:pt idx="222">
                  <c:v>-7.0820161307857711E-3</c:v>
                </c:pt>
                <c:pt idx="223">
                  <c:v>-7.0896061954722599E-3</c:v>
                </c:pt>
                <c:pt idx="224">
                  <c:v>-6.7044772260350582E-3</c:v>
                </c:pt>
                <c:pt idx="225">
                  <c:v>-6.6843518454224576E-3</c:v>
                </c:pt>
                <c:pt idx="226">
                  <c:v>-6.6741565167309355E-3</c:v>
                </c:pt>
                <c:pt idx="227">
                  <c:v>-6.6163034977151152E-3</c:v>
                </c:pt>
                <c:pt idx="228">
                  <c:v>-6.5678674912272366E-3</c:v>
                </c:pt>
                <c:pt idx="229">
                  <c:v>-6.5680289003699583E-3</c:v>
                </c:pt>
                <c:pt idx="230">
                  <c:v>-6.6155665709233102E-3</c:v>
                </c:pt>
                <c:pt idx="231">
                  <c:v>-6.5680762328526356E-3</c:v>
                </c:pt>
                <c:pt idx="232">
                  <c:v>-6.6137946207058705E-3</c:v>
                </c:pt>
                <c:pt idx="233">
                  <c:v>-6.5852976888045901E-3</c:v>
                </c:pt>
                <c:pt idx="234">
                  <c:v>-6.5665833867651346E-3</c:v>
                </c:pt>
                <c:pt idx="235">
                  <c:v>-6.5296108165665686E-3</c:v>
                </c:pt>
                <c:pt idx="236">
                  <c:v>-6.4743700279651199E-3</c:v>
                </c:pt>
                <c:pt idx="237">
                  <c:v>-6.493063507253473E-3</c:v>
                </c:pt>
                <c:pt idx="238">
                  <c:v>-6.511539050004591E-3</c:v>
                </c:pt>
                <c:pt idx="239">
                  <c:v>-6.5209993079153429E-3</c:v>
                </c:pt>
                <c:pt idx="240">
                  <c:v>-6.3939528181672697E-3</c:v>
                </c:pt>
                <c:pt idx="241">
                  <c:v>-6.3949453156512855E-3</c:v>
                </c:pt>
                <c:pt idx="242">
                  <c:v>-6.332402075562309E-3</c:v>
                </c:pt>
                <c:pt idx="243">
                  <c:v>-6.3243685049765661E-3</c:v>
                </c:pt>
                <c:pt idx="244">
                  <c:v>-6.2625916591219268E-3</c:v>
                </c:pt>
                <c:pt idx="245">
                  <c:v>-6.2904819297905151E-3</c:v>
                </c:pt>
                <c:pt idx="246">
                  <c:v>-6.211524327324254E-3</c:v>
                </c:pt>
                <c:pt idx="247">
                  <c:v>-6.2748805772575439E-3</c:v>
                </c:pt>
                <c:pt idx="248">
                  <c:v>-6.7600751872612403E-3</c:v>
                </c:pt>
                <c:pt idx="249">
                  <c:v>-6.750403062797874E-3</c:v>
                </c:pt>
                <c:pt idx="250">
                  <c:v>-6.7324091663895974E-3</c:v>
                </c:pt>
                <c:pt idx="251">
                  <c:v>-6.6097910750381504E-3</c:v>
                </c:pt>
                <c:pt idx="252">
                  <c:v>-6.6268506956348259E-3</c:v>
                </c:pt>
                <c:pt idx="253">
                  <c:v>-6.5833187207731316E-3</c:v>
                </c:pt>
                <c:pt idx="254">
                  <c:v>-6.5745353211166795E-3</c:v>
                </c:pt>
                <c:pt idx="255">
                  <c:v>-6.5744589806731287E-3</c:v>
                </c:pt>
                <c:pt idx="256">
                  <c:v>-6.5743270401812373E-3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FF9-4320-8169-A79231AD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761951"/>
        <c:axId val="1493759551"/>
      </c:scatterChart>
      <c:valAx>
        <c:axId val="1493761951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Wiper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59551"/>
        <c:crossesAt val="-15"/>
        <c:crossBetween val="midCat"/>
      </c:valAx>
      <c:valAx>
        <c:axId val="1493759551"/>
        <c:scaling>
          <c:orientation val="minMax"/>
          <c:max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Offset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541750385824056E-2"/>
          <c:y val="0.95715097174858732"/>
          <c:w val="0.89330987626470215"/>
          <c:h val="3.3148600872478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Gain Resistance vs.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 </c:f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sdia_profile!$D$2:$D$258</c:f>
              <c:numCache>
                <c:formatCode>General</c:formatCode>
                <c:ptCount val="257"/>
                <c:pt idx="0">
                  <c:v>0</c:v>
                </c:pt>
                <c:pt idx="1">
                  <c:v>207.46553</c:v>
                </c:pt>
                <c:pt idx="2">
                  <c:v>344.77826099999999</c:v>
                </c:pt>
                <c:pt idx="3">
                  <c:v>413.13792699999999</c:v>
                </c:pt>
                <c:pt idx="4">
                  <c:v>752.00320299999998</c:v>
                </c:pt>
                <c:pt idx="5">
                  <c:v>819.19551200000001</c:v>
                </c:pt>
                <c:pt idx="6">
                  <c:v>953.00600099999997</c:v>
                </c:pt>
                <c:pt idx="7">
                  <c:v>1152.298622</c:v>
                </c:pt>
                <c:pt idx="8">
                  <c:v>1218.3532230000001</c:v>
                </c:pt>
                <c:pt idx="9">
                  <c:v>1610.7854460000001</c:v>
                </c:pt>
                <c:pt idx="10">
                  <c:v>1610.7854460000001</c:v>
                </c:pt>
                <c:pt idx="11">
                  <c:v>1804.5323960000001</c:v>
                </c:pt>
                <c:pt idx="12">
                  <c:v>2187.1906789999998</c:v>
                </c:pt>
                <c:pt idx="13">
                  <c:v>2376.142077</c:v>
                </c:pt>
                <c:pt idx="14">
                  <c:v>2563.5344700000001</c:v>
                </c:pt>
                <c:pt idx="15">
                  <c:v>2625.6554860000001</c:v>
                </c:pt>
                <c:pt idx="16">
                  <c:v>2625.6554860000001</c:v>
                </c:pt>
                <c:pt idx="17">
                  <c:v>2872.4427169999999</c:v>
                </c:pt>
                <c:pt idx="18">
                  <c:v>3055.7708539999999</c:v>
                </c:pt>
                <c:pt idx="19">
                  <c:v>3297.8936199999998</c:v>
                </c:pt>
                <c:pt idx="20">
                  <c:v>3417.9750140000001</c:v>
                </c:pt>
                <c:pt idx="21">
                  <c:v>3477.7730240000001</c:v>
                </c:pt>
                <c:pt idx="22">
                  <c:v>3833.2043399999998</c:v>
                </c:pt>
                <c:pt idx="23">
                  <c:v>4008.7908170000001</c:v>
                </c:pt>
                <c:pt idx="24">
                  <c:v>4125.0713990000004</c:v>
                </c:pt>
                <c:pt idx="25">
                  <c:v>4298.3390010000003</c:v>
                </c:pt>
                <c:pt idx="26">
                  <c:v>4640.7823420000004</c:v>
                </c:pt>
                <c:pt idx="27">
                  <c:v>4809.9901669999999</c:v>
                </c:pt>
                <c:pt idx="28">
                  <c:v>4753.7351710000003</c:v>
                </c:pt>
                <c:pt idx="29">
                  <c:v>5089.0739629999998</c:v>
                </c:pt>
                <c:pt idx="30">
                  <c:v>5419.2284399999999</c:v>
                </c:pt>
                <c:pt idx="31">
                  <c:v>5473.7585859999999</c:v>
                </c:pt>
                <c:pt idx="32">
                  <c:v>5582.3989849999998</c:v>
                </c:pt>
                <c:pt idx="33">
                  <c:v>5904.9995390000004</c:v>
                </c:pt>
                <c:pt idx="34">
                  <c:v>6117.3414480000001</c:v>
                </c:pt>
                <c:pt idx="35">
                  <c:v>6170.0910260000001</c:v>
                </c:pt>
                <c:pt idx="36">
                  <c:v>6483.8059249999997</c:v>
                </c:pt>
                <c:pt idx="37">
                  <c:v>6535.6326330000002</c:v>
                </c:pt>
                <c:pt idx="38">
                  <c:v>6638.8969610000004</c:v>
                </c:pt>
                <c:pt idx="39">
                  <c:v>6945.6120220000003</c:v>
                </c:pt>
                <c:pt idx="40">
                  <c:v>6894.8106719999996</c:v>
                </c:pt>
                <c:pt idx="41">
                  <c:v>7197.7377079999997</c:v>
                </c:pt>
                <c:pt idx="42">
                  <c:v>7446.7705859999996</c:v>
                </c:pt>
                <c:pt idx="43">
                  <c:v>7643.8081229999998</c:v>
                </c:pt>
                <c:pt idx="44">
                  <c:v>7790.3281299999999</c:v>
                </c:pt>
                <c:pt idx="45">
                  <c:v>7984.0329469999997</c:v>
                </c:pt>
                <c:pt idx="46">
                  <c:v>8175.8711800000001</c:v>
                </c:pt>
                <c:pt idx="47">
                  <c:v>8271.0987380000006</c:v>
                </c:pt>
                <c:pt idx="48">
                  <c:v>8365.8696789999995</c:v>
                </c:pt>
                <c:pt idx="49">
                  <c:v>8694.0191309999991</c:v>
                </c:pt>
                <c:pt idx="50">
                  <c:v>8786.7753900000007</c:v>
                </c:pt>
                <c:pt idx="51">
                  <c:v>9062.4227009999995</c:v>
                </c:pt>
                <c:pt idx="52">
                  <c:v>9289.1707430000006</c:v>
                </c:pt>
                <c:pt idx="53">
                  <c:v>9557.7888829999993</c:v>
                </c:pt>
                <c:pt idx="54">
                  <c:v>9646.497464</c:v>
                </c:pt>
                <c:pt idx="55">
                  <c:v>9822.6856910000006</c:v>
                </c:pt>
                <c:pt idx="56">
                  <c:v>10040.645818000001</c:v>
                </c:pt>
                <c:pt idx="57">
                  <c:v>10040.645818000001</c:v>
                </c:pt>
                <c:pt idx="58">
                  <c:v>10256.118383000001</c:v>
                </c:pt>
                <c:pt idx="59">
                  <c:v>10553.681311</c:v>
                </c:pt>
                <c:pt idx="60">
                  <c:v>10846.564526</c:v>
                </c:pt>
                <c:pt idx="61">
                  <c:v>11011.867560999999</c:v>
                </c:pt>
                <c:pt idx="62">
                  <c:v>11134.877560999999</c:v>
                </c:pt>
                <c:pt idx="63">
                  <c:v>11297.616932999999</c:v>
                </c:pt>
                <c:pt idx="64">
                  <c:v>11418.726559000001</c:v>
                </c:pt>
                <c:pt idx="65">
                  <c:v>11618.799874</c:v>
                </c:pt>
                <c:pt idx="66">
                  <c:v>11816.684681000001</c:v>
                </c:pt>
                <c:pt idx="67">
                  <c:v>12206.030855999999</c:v>
                </c:pt>
                <c:pt idx="68">
                  <c:v>12206.030855999999</c:v>
                </c:pt>
                <c:pt idx="69">
                  <c:v>12397.561351</c:v>
                </c:pt>
                <c:pt idx="70">
                  <c:v>12587.041638000001</c:v>
                </c:pt>
                <c:pt idx="71">
                  <c:v>12774.50446</c:v>
                </c:pt>
                <c:pt idx="72">
                  <c:v>12886.027131000001</c:v>
                </c:pt>
                <c:pt idx="73">
                  <c:v>13106.955402</c:v>
                </c:pt>
                <c:pt idx="74">
                  <c:v>13288.937685999999</c:v>
                </c:pt>
                <c:pt idx="75">
                  <c:v>13397.213529000001</c:v>
                </c:pt>
                <c:pt idx="76">
                  <c:v>13576.171313999999</c:v>
                </c:pt>
                <c:pt idx="77">
                  <c:v>13788.478305000001</c:v>
                </c:pt>
                <c:pt idx="78">
                  <c:v>13963.398998999999</c:v>
                </c:pt>
                <c:pt idx="79">
                  <c:v>14239.560265</c:v>
                </c:pt>
                <c:pt idx="80">
                  <c:v>14375.957329999999</c:v>
                </c:pt>
                <c:pt idx="81">
                  <c:v>14477.529759999999</c:v>
                </c:pt>
                <c:pt idx="82">
                  <c:v>14678.833796999999</c:v>
                </c:pt>
                <c:pt idx="83">
                  <c:v>14877.720251999999</c:v>
                </c:pt>
                <c:pt idx="84">
                  <c:v>15008.989541999999</c:v>
                </c:pt>
                <c:pt idx="85">
                  <c:v>15268.412553</c:v>
                </c:pt>
                <c:pt idx="86">
                  <c:v>15555.400212</c:v>
                </c:pt>
                <c:pt idx="87">
                  <c:v>15649.940844000001</c:v>
                </c:pt>
                <c:pt idx="88">
                  <c:v>15775.136004</c:v>
                </c:pt>
                <c:pt idx="89">
                  <c:v>16053.291089</c:v>
                </c:pt>
                <c:pt idx="90">
                  <c:v>16236.05889</c:v>
                </c:pt>
                <c:pt idx="91">
                  <c:v>16506.298610000002</c:v>
                </c:pt>
                <c:pt idx="92">
                  <c:v>16565.724663000001</c:v>
                </c:pt>
                <c:pt idx="93">
                  <c:v>16683.902238999999</c:v>
                </c:pt>
                <c:pt idx="94">
                  <c:v>16946.559717</c:v>
                </c:pt>
                <c:pt idx="95">
                  <c:v>17147.803184</c:v>
                </c:pt>
                <c:pt idx="96">
                  <c:v>17261.625147999999</c:v>
                </c:pt>
                <c:pt idx="97">
                  <c:v>17402.719367999998</c:v>
                </c:pt>
                <c:pt idx="98">
                  <c:v>17653.430557</c:v>
                </c:pt>
                <c:pt idx="99">
                  <c:v>17872.838326000001</c:v>
                </c:pt>
                <c:pt idx="100">
                  <c:v>18062.216864000002</c:v>
                </c:pt>
                <c:pt idx="101">
                  <c:v>18328.63723</c:v>
                </c:pt>
                <c:pt idx="102">
                  <c:v>18433.873512999999</c:v>
                </c:pt>
                <c:pt idx="103">
                  <c:v>18642.107404999999</c:v>
                </c:pt>
                <c:pt idx="104">
                  <c:v>18693.705265000001</c:v>
                </c:pt>
                <c:pt idx="105">
                  <c:v>18974.260716000001</c:v>
                </c:pt>
                <c:pt idx="106">
                  <c:v>19149.997157999998</c:v>
                </c:pt>
                <c:pt idx="107">
                  <c:v>19348.233178999999</c:v>
                </c:pt>
                <c:pt idx="108">
                  <c:v>19616.370664999999</c:v>
                </c:pt>
                <c:pt idx="109">
                  <c:v>19808.226944999999</c:v>
                </c:pt>
                <c:pt idx="110">
                  <c:v>20044.405068</c:v>
                </c:pt>
                <c:pt idx="111">
                  <c:v>20230.497277999999</c:v>
                </c:pt>
                <c:pt idx="112">
                  <c:v>20322.610745000002</c:v>
                </c:pt>
                <c:pt idx="113">
                  <c:v>20527.632323000002</c:v>
                </c:pt>
                <c:pt idx="114">
                  <c:v>20774.0969</c:v>
                </c:pt>
                <c:pt idx="115">
                  <c:v>20906.663746999999</c:v>
                </c:pt>
                <c:pt idx="116">
                  <c:v>21103.093344000001</c:v>
                </c:pt>
                <c:pt idx="117">
                  <c:v>21339.311662</c:v>
                </c:pt>
                <c:pt idx="118">
                  <c:v>21487.468137</c:v>
                </c:pt>
                <c:pt idx="119">
                  <c:v>21716.962658</c:v>
                </c:pt>
                <c:pt idx="120">
                  <c:v>21778.858945</c:v>
                </c:pt>
                <c:pt idx="121">
                  <c:v>22023.534067000001</c:v>
                </c:pt>
                <c:pt idx="122">
                  <c:v>22204.041937999998</c:v>
                </c:pt>
                <c:pt idx="123">
                  <c:v>22401.664052</c:v>
                </c:pt>
                <c:pt idx="124">
                  <c:v>22654.055982000002</c:v>
                </c:pt>
                <c:pt idx="125">
                  <c:v>22787.892672999998</c:v>
                </c:pt>
                <c:pt idx="126">
                  <c:v>22995.35295</c:v>
                </c:pt>
                <c:pt idx="127">
                  <c:v>23180.989120999999</c:v>
                </c:pt>
                <c:pt idx="128">
                  <c:v>23272.769128</c:v>
                </c:pt>
                <c:pt idx="129">
                  <c:v>23436.260167</c:v>
                </c:pt>
                <c:pt idx="130">
                  <c:v>23721.592304999998</c:v>
                </c:pt>
                <c:pt idx="131">
                  <c:v>23965.831199</c:v>
                </c:pt>
                <c:pt idx="132">
                  <c:v>24103.184473000001</c:v>
                </c:pt>
                <c:pt idx="133">
                  <c:v>24306.271520999999</c:v>
                </c:pt>
                <c:pt idx="134">
                  <c:v>24505.907153</c:v>
                </c:pt>
                <c:pt idx="135">
                  <c:v>24734.569411</c:v>
                </c:pt>
                <c:pt idx="136">
                  <c:v>24927.022384</c:v>
                </c:pt>
                <c:pt idx="137">
                  <c:v>25084.963521999998</c:v>
                </c:pt>
                <c:pt idx="138">
                  <c:v>25225.257133999999</c:v>
                </c:pt>
                <c:pt idx="139">
                  <c:v>25470.435532</c:v>
                </c:pt>
                <c:pt idx="140">
                  <c:v>25620.985846</c:v>
                </c:pt>
                <c:pt idx="141">
                  <c:v>25857.688859000002</c:v>
                </c:pt>
                <c:pt idx="142">
                  <c:v>26003.079591000002</c:v>
                </c:pt>
                <c:pt idx="143">
                  <c:v>26160.80013</c:v>
                </c:pt>
                <c:pt idx="144">
                  <c:v>26358.264353999999</c:v>
                </c:pt>
                <c:pt idx="145">
                  <c:v>26552.157335</c:v>
                </c:pt>
                <c:pt idx="146">
                  <c:v>26782.935710000002</c:v>
                </c:pt>
                <c:pt idx="147">
                  <c:v>26916.360814</c:v>
                </c:pt>
                <c:pt idx="148">
                  <c:v>27100.334992</c:v>
                </c:pt>
                <c:pt idx="149">
                  <c:v>27293.886822</c:v>
                </c:pt>
                <c:pt idx="150">
                  <c:v>27521.424169000002</c:v>
                </c:pt>
                <c:pt idx="151">
                  <c:v>27743.967401999998</c:v>
                </c:pt>
                <c:pt idx="152">
                  <c:v>27853.417326999999</c:v>
                </c:pt>
                <c:pt idx="153">
                  <c:v>28092.413742000001</c:v>
                </c:pt>
                <c:pt idx="154">
                  <c:v>28279.526435</c:v>
                </c:pt>
                <c:pt idx="155">
                  <c:v>28497.159402000001</c:v>
                </c:pt>
                <c:pt idx="156">
                  <c:v>28654.440616</c:v>
                </c:pt>
                <c:pt idx="157">
                  <c:v>28874.733074</c:v>
                </c:pt>
                <c:pt idx="158">
                  <c:v>29068.706340000001</c:v>
                </c:pt>
                <c:pt idx="159">
                  <c:v>29227.339061999999</c:v>
                </c:pt>
                <c:pt idx="160">
                  <c:v>29403.905567000002</c:v>
                </c:pt>
                <c:pt idx="161">
                  <c:v>29597.313545000001</c:v>
                </c:pt>
                <c:pt idx="162">
                  <c:v>29816.24006</c:v>
                </c:pt>
                <c:pt idx="163">
                  <c:v>29962.513387999999</c:v>
                </c:pt>
                <c:pt idx="164">
                  <c:v>30172.794163999999</c:v>
                </c:pt>
                <c:pt idx="165">
                  <c:v>30368.943243000002</c:v>
                </c:pt>
                <c:pt idx="166">
                  <c:v>30560.775029</c:v>
                </c:pt>
                <c:pt idx="167">
                  <c:v>30774.905447000001</c:v>
                </c:pt>
                <c:pt idx="168">
                  <c:v>30966.571274000002</c:v>
                </c:pt>
                <c:pt idx="169">
                  <c:v>31179.201211</c:v>
                </c:pt>
                <c:pt idx="170">
                  <c:v>31328.998639000001</c:v>
                </c:pt>
                <c:pt idx="171">
                  <c:v>31524.57821</c:v>
                </c:pt>
                <c:pt idx="172">
                  <c:v>31691.939427000001</c:v>
                </c:pt>
                <c:pt idx="173">
                  <c:v>31925.142574000001</c:v>
                </c:pt>
                <c:pt idx="174">
                  <c:v>32099.409019999999</c:v>
                </c:pt>
                <c:pt idx="175">
                  <c:v>32284.540719000001</c:v>
                </c:pt>
                <c:pt idx="176">
                  <c:v>32451.047298000001</c:v>
                </c:pt>
                <c:pt idx="177">
                  <c:v>32662.933145999999</c:v>
                </c:pt>
                <c:pt idx="178">
                  <c:v>32835.086781999998</c:v>
                </c:pt>
                <c:pt idx="179">
                  <c:v>33095.963718999999</c:v>
                </c:pt>
                <c:pt idx="180">
                  <c:v>33232.703591999998</c:v>
                </c:pt>
                <c:pt idx="181">
                  <c:v>33480.016333</c:v>
                </c:pt>
                <c:pt idx="182">
                  <c:v>33634.180936999997</c:v>
                </c:pt>
                <c:pt idx="183">
                  <c:v>33856.348391</c:v>
                </c:pt>
                <c:pt idx="184">
                  <c:v>33996.768428000003</c:v>
                </c:pt>
                <c:pt idx="185">
                  <c:v>34207.793020999998</c:v>
                </c:pt>
                <c:pt idx="186">
                  <c:v>34412.462484999996</c:v>
                </c:pt>
                <c:pt idx="187">
                  <c:v>34584.567201999998</c:v>
                </c:pt>
                <c:pt idx="188">
                  <c:v>34762.645314000001</c:v>
                </c:pt>
                <c:pt idx="189">
                  <c:v>34956.078737999997</c:v>
                </c:pt>
                <c:pt idx="190">
                  <c:v>35148.723610000001</c:v>
                </c:pt>
                <c:pt idx="191">
                  <c:v>35321.490487000003</c:v>
                </c:pt>
                <c:pt idx="192">
                  <c:v>35521.766094999999</c:v>
                </c:pt>
                <c:pt idx="193">
                  <c:v>35715.714576999999</c:v>
                </c:pt>
                <c:pt idx="194">
                  <c:v>35925.103245999999</c:v>
                </c:pt>
                <c:pt idx="195">
                  <c:v>36119.069556000002</c:v>
                </c:pt>
                <c:pt idx="196">
                  <c:v>36286.688390000003</c:v>
                </c:pt>
                <c:pt idx="197">
                  <c:v>36469.112958999998</c:v>
                </c:pt>
                <c:pt idx="198">
                  <c:v>36668.493423</c:v>
                </c:pt>
                <c:pt idx="199">
                  <c:v>36868.249003999998</c:v>
                </c:pt>
                <c:pt idx="200">
                  <c:v>37029.316192999999</c:v>
                </c:pt>
                <c:pt idx="201">
                  <c:v>37223.246341999999</c:v>
                </c:pt>
                <c:pt idx="202">
                  <c:v>37416.875243000002</c:v>
                </c:pt>
                <c:pt idx="203">
                  <c:v>37606.701652999996</c:v>
                </c:pt>
                <c:pt idx="204">
                  <c:v>37810.989738999997</c:v>
                </c:pt>
                <c:pt idx="205">
                  <c:v>37986.801157000002</c:v>
                </c:pt>
                <c:pt idx="206">
                  <c:v>38184.718476000002</c:v>
                </c:pt>
                <c:pt idx="207">
                  <c:v>38369.406210000001</c:v>
                </c:pt>
                <c:pt idx="208">
                  <c:v>38560.127782000003</c:v>
                </c:pt>
                <c:pt idx="209">
                  <c:v>38738.298439999999</c:v>
                </c:pt>
                <c:pt idx="210">
                  <c:v>38938.466613999997</c:v>
                </c:pt>
                <c:pt idx="211">
                  <c:v>39129.982744000001</c:v>
                </c:pt>
                <c:pt idx="212">
                  <c:v>39330.875279</c:v>
                </c:pt>
                <c:pt idx="213">
                  <c:v>39510.153380000003</c:v>
                </c:pt>
                <c:pt idx="214">
                  <c:v>39699.989177000003</c:v>
                </c:pt>
                <c:pt idx="215">
                  <c:v>39885.135838000002</c:v>
                </c:pt>
                <c:pt idx="216">
                  <c:v>40072.913521000002</c:v>
                </c:pt>
                <c:pt idx="217">
                  <c:v>40276.157112000001</c:v>
                </c:pt>
                <c:pt idx="218">
                  <c:v>40467.348925999999</c:v>
                </c:pt>
                <c:pt idx="219">
                  <c:v>40656.828730000001</c:v>
                </c:pt>
                <c:pt idx="220">
                  <c:v>40838.236401000002</c:v>
                </c:pt>
                <c:pt idx="221">
                  <c:v>41033.004719999997</c:v>
                </c:pt>
                <c:pt idx="222">
                  <c:v>41218.488758</c:v>
                </c:pt>
                <c:pt idx="223">
                  <c:v>41415.212813999999</c:v>
                </c:pt>
                <c:pt idx="224">
                  <c:v>41575.884960000003</c:v>
                </c:pt>
                <c:pt idx="225">
                  <c:v>41769.848414</c:v>
                </c:pt>
                <c:pt idx="226">
                  <c:v>41960.393279000004</c:v>
                </c:pt>
                <c:pt idx="227">
                  <c:v>42148.989613999998</c:v>
                </c:pt>
                <c:pt idx="228">
                  <c:v>42335.787833000002</c:v>
                </c:pt>
                <c:pt idx="229">
                  <c:v>42530.121241000001</c:v>
                </c:pt>
                <c:pt idx="230">
                  <c:v>42718.967022999997</c:v>
                </c:pt>
                <c:pt idx="231">
                  <c:v>42908.605080000001</c:v>
                </c:pt>
                <c:pt idx="232">
                  <c:v>43094.714262000001</c:v>
                </c:pt>
                <c:pt idx="233">
                  <c:v>43287.080018000001</c:v>
                </c:pt>
                <c:pt idx="234">
                  <c:v>43475.165271999998</c:v>
                </c:pt>
                <c:pt idx="235">
                  <c:v>43664.901244000001</c:v>
                </c:pt>
                <c:pt idx="236">
                  <c:v>43853.895602999997</c:v>
                </c:pt>
                <c:pt idx="237">
                  <c:v>44043.177283999998</c:v>
                </c:pt>
                <c:pt idx="238">
                  <c:v>44230.691138000002</c:v>
                </c:pt>
                <c:pt idx="239">
                  <c:v>44419.243751000002</c:v>
                </c:pt>
                <c:pt idx="240">
                  <c:v>44593.257708999998</c:v>
                </c:pt>
                <c:pt idx="241">
                  <c:v>44783.792144999999</c:v>
                </c:pt>
                <c:pt idx="242">
                  <c:v>44972.775393999997</c:v>
                </c:pt>
                <c:pt idx="243">
                  <c:v>45160.607580000004</c:v>
                </c:pt>
                <c:pt idx="244">
                  <c:v>45348.827888</c:v>
                </c:pt>
                <c:pt idx="245">
                  <c:v>45536.551118000003</c:v>
                </c:pt>
                <c:pt idx="246">
                  <c:v>45725.412242999999</c:v>
                </c:pt>
                <c:pt idx="247">
                  <c:v>45913.516705000002</c:v>
                </c:pt>
                <c:pt idx="248">
                  <c:v>46098.353107000003</c:v>
                </c:pt>
                <c:pt idx="249">
                  <c:v>46287.959865999997</c:v>
                </c:pt>
                <c:pt idx="250">
                  <c:v>46476.019676999997</c:v>
                </c:pt>
                <c:pt idx="251">
                  <c:v>46663.997452000003</c:v>
                </c:pt>
                <c:pt idx="252">
                  <c:v>46891.209585999997</c:v>
                </c:pt>
                <c:pt idx="253">
                  <c:v>47118.421719999998</c:v>
                </c:pt>
                <c:pt idx="254">
                  <c:v>47345.633854</c:v>
                </c:pt>
                <c:pt idx="255">
                  <c:v>47572.845988000001</c:v>
                </c:pt>
                <c:pt idx="256">
                  <c:v>47800.058123000003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42-4907-A900-B687C9538011}"/>
            </c:ext>
          </c:extLst>
        </c:ser>
        <c:ser>
          <c:idx val="1"/>
          <c:order val="1"/>
          <c:tx>
            <c:strRef>
              <c:f> </c:f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sdia_profile!$E$2:$E$258</c:f>
              <c:numCache>
                <c:formatCode>General</c:formatCode>
                <c:ptCount val="257"/>
                <c:pt idx="0">
                  <c:v>0</c:v>
                </c:pt>
                <c:pt idx="1">
                  <c:v>424.94957399999998</c:v>
                </c:pt>
                <c:pt idx="2">
                  <c:v>518.14795100000003</c:v>
                </c:pt>
                <c:pt idx="3">
                  <c:v>657.11752799999999</c:v>
                </c:pt>
                <c:pt idx="4">
                  <c:v>749.21648700000003</c:v>
                </c:pt>
                <c:pt idx="5">
                  <c:v>886.55152099999998</c:v>
                </c:pt>
                <c:pt idx="6">
                  <c:v>977.57040199999994</c:v>
                </c:pt>
                <c:pt idx="7">
                  <c:v>1068.162564</c:v>
                </c:pt>
                <c:pt idx="8">
                  <c:v>1203.2572540000001</c:v>
                </c:pt>
                <c:pt idx="9">
                  <c:v>1337.4085439999999</c:v>
                </c:pt>
                <c:pt idx="10">
                  <c:v>1426.3234970000001</c:v>
                </c:pt>
                <c:pt idx="11">
                  <c:v>1646.8145119999999</c:v>
                </c:pt>
                <c:pt idx="12">
                  <c:v>1646.8145119999999</c:v>
                </c:pt>
                <c:pt idx="13">
                  <c:v>1777.8914990000001</c:v>
                </c:pt>
                <c:pt idx="14">
                  <c:v>2037.349649</c:v>
                </c:pt>
                <c:pt idx="15">
                  <c:v>2080.2472029999999</c:v>
                </c:pt>
                <c:pt idx="16">
                  <c:v>2208.3543679999998</c:v>
                </c:pt>
                <c:pt idx="17">
                  <c:v>2293.274551</c:v>
                </c:pt>
                <c:pt idx="18">
                  <c:v>2461.9637170000001</c:v>
                </c:pt>
                <c:pt idx="19">
                  <c:v>2587.4834980000001</c:v>
                </c:pt>
                <c:pt idx="20">
                  <c:v>2712.158218</c:v>
                </c:pt>
                <c:pt idx="21">
                  <c:v>2835.9963819999998</c:v>
                </c:pt>
                <c:pt idx="22">
                  <c:v>2999.8271119999999</c:v>
                </c:pt>
                <c:pt idx="23">
                  <c:v>3081.196496</c:v>
                </c:pt>
                <c:pt idx="24">
                  <c:v>3162.205121</c:v>
                </c:pt>
                <c:pt idx="25">
                  <c:v>3283.046863</c:v>
                </c:pt>
                <c:pt idx="26">
                  <c:v>3482.6795820000002</c:v>
                </c:pt>
                <c:pt idx="27">
                  <c:v>3561.9198959999999</c:v>
                </c:pt>
                <c:pt idx="28">
                  <c:v>3680.130999</c:v>
                </c:pt>
                <c:pt idx="29">
                  <c:v>3797.5696480000001</c:v>
                </c:pt>
                <c:pt idx="30">
                  <c:v>3952.9659499999998</c:v>
                </c:pt>
                <c:pt idx="31">
                  <c:v>4068.6313869999999</c:v>
                </c:pt>
                <c:pt idx="32">
                  <c:v>4297.7264619999996</c:v>
                </c:pt>
                <c:pt idx="33">
                  <c:v>4335.622257</c:v>
                </c:pt>
                <c:pt idx="34">
                  <c:v>4486.3958730000004</c:v>
                </c:pt>
                <c:pt idx="35">
                  <c:v>4710.1559520000001</c:v>
                </c:pt>
                <c:pt idx="36">
                  <c:v>4784.1106879999998</c:v>
                </c:pt>
                <c:pt idx="37">
                  <c:v>4894.4572129999997</c:v>
                </c:pt>
                <c:pt idx="38">
                  <c:v>5040.5031749999998</c:v>
                </c:pt>
                <c:pt idx="39">
                  <c:v>5221.3423499999999</c:v>
                </c:pt>
                <c:pt idx="40">
                  <c:v>5328.9409050000004</c:v>
                </c:pt>
                <c:pt idx="41">
                  <c:v>5435.8685059999998</c:v>
                </c:pt>
                <c:pt idx="42">
                  <c:v>5542.13141</c:v>
                </c:pt>
                <c:pt idx="43">
                  <c:v>5717.7758940000003</c:v>
                </c:pt>
                <c:pt idx="44">
                  <c:v>5822.2962729999999</c:v>
                </c:pt>
                <c:pt idx="45">
                  <c:v>5995.0722420000002</c:v>
                </c:pt>
                <c:pt idx="46">
                  <c:v>6029.4157009999999</c:v>
                </c:pt>
                <c:pt idx="47">
                  <c:v>6200.0861500000001</c:v>
                </c:pt>
                <c:pt idx="48">
                  <c:v>6402.6155429999999</c:v>
                </c:pt>
                <c:pt idx="49">
                  <c:v>6502.9626170000001</c:v>
                </c:pt>
                <c:pt idx="50">
                  <c:v>6635.8195139999998</c:v>
                </c:pt>
                <c:pt idx="51">
                  <c:v>6833.1183620000002</c:v>
                </c:pt>
                <c:pt idx="52">
                  <c:v>6930.8854119999996</c:v>
                </c:pt>
                <c:pt idx="53">
                  <c:v>7060.3382000000001</c:v>
                </c:pt>
                <c:pt idx="54">
                  <c:v>7156.7570180000002</c:v>
                </c:pt>
                <c:pt idx="55">
                  <c:v>7347.8918089999997</c:v>
                </c:pt>
                <c:pt idx="56">
                  <c:v>7411.1042950000001</c:v>
                </c:pt>
                <c:pt idx="57">
                  <c:v>7630.4114129999998</c:v>
                </c:pt>
                <c:pt idx="58">
                  <c:v>7661.4974750000001</c:v>
                </c:pt>
                <c:pt idx="59">
                  <c:v>7846.7526310000003</c:v>
                </c:pt>
                <c:pt idx="60">
                  <c:v>7938.5772340000003</c:v>
                </c:pt>
                <c:pt idx="61">
                  <c:v>8090.4446120000002</c:v>
                </c:pt>
                <c:pt idx="62">
                  <c:v>8240.8631499999992</c:v>
                </c:pt>
                <c:pt idx="63">
                  <c:v>8419.4819530000004</c:v>
                </c:pt>
                <c:pt idx="64">
                  <c:v>8508.0310590000008</c:v>
                </c:pt>
                <c:pt idx="65">
                  <c:v>8625.3177379999997</c:v>
                </c:pt>
                <c:pt idx="66">
                  <c:v>8828.4558059999999</c:v>
                </c:pt>
                <c:pt idx="67">
                  <c:v>8943.3438170000009</c:v>
                </c:pt>
                <c:pt idx="68">
                  <c:v>9085.7539689999994</c:v>
                </c:pt>
                <c:pt idx="69">
                  <c:v>9254.9107239999994</c:v>
                </c:pt>
                <c:pt idx="70">
                  <c:v>9394.4497620000002</c:v>
                </c:pt>
                <c:pt idx="71">
                  <c:v>9532.7123730000003</c:v>
                </c:pt>
                <c:pt idx="72">
                  <c:v>9642.4151600000005</c:v>
                </c:pt>
                <c:pt idx="73">
                  <c:v>9778.4239230000003</c:v>
                </c:pt>
                <c:pt idx="74">
                  <c:v>9886.3456850000002</c:v>
                </c:pt>
                <c:pt idx="75">
                  <c:v>9993.4897710000005</c:v>
                </c:pt>
                <c:pt idx="76">
                  <c:v>10152.766051000001</c:v>
                </c:pt>
                <c:pt idx="77">
                  <c:v>10310.339144</c:v>
                </c:pt>
                <c:pt idx="78">
                  <c:v>10440.368632</c:v>
                </c:pt>
                <c:pt idx="79">
                  <c:v>10646.033314</c:v>
                </c:pt>
                <c:pt idx="80">
                  <c:v>10722.412211000001</c:v>
                </c:pt>
                <c:pt idx="81">
                  <c:v>10823.626620999999</c:v>
                </c:pt>
                <c:pt idx="82">
                  <c:v>10974.125978</c:v>
                </c:pt>
                <c:pt idx="83">
                  <c:v>11147.732649</c:v>
                </c:pt>
                <c:pt idx="84">
                  <c:v>11245.995086000001</c:v>
                </c:pt>
                <c:pt idx="85">
                  <c:v>11440.499486000001</c:v>
                </c:pt>
                <c:pt idx="86">
                  <c:v>11536.755249</c:v>
                </c:pt>
                <c:pt idx="87">
                  <c:v>11632.355765</c:v>
                </c:pt>
                <c:pt idx="88">
                  <c:v>11798.099985999999</c:v>
                </c:pt>
                <c:pt idx="89">
                  <c:v>11938.612123999999</c:v>
                </c:pt>
                <c:pt idx="90">
                  <c:v>12077.712315999999</c:v>
                </c:pt>
                <c:pt idx="91">
                  <c:v>12238.239557000001</c:v>
                </c:pt>
                <c:pt idx="92">
                  <c:v>12374.352616</c:v>
                </c:pt>
                <c:pt idx="93">
                  <c:v>12553.745863</c:v>
                </c:pt>
                <c:pt idx="94">
                  <c:v>12708.788481</c:v>
                </c:pt>
                <c:pt idx="95">
                  <c:v>12818.450306999999</c:v>
                </c:pt>
                <c:pt idx="96">
                  <c:v>12948.870692</c:v>
                </c:pt>
                <c:pt idx="97">
                  <c:v>13099.432871000001</c:v>
                </c:pt>
                <c:pt idx="98">
                  <c:v>13269.436102</c:v>
                </c:pt>
                <c:pt idx="99">
                  <c:v>13437.274031000001</c:v>
                </c:pt>
                <c:pt idx="100">
                  <c:v>13602.987766</c:v>
                </c:pt>
                <c:pt idx="101">
                  <c:v>13725.903208</c:v>
                </c:pt>
                <c:pt idx="102">
                  <c:v>13847.662887</c:v>
                </c:pt>
                <c:pt idx="103">
                  <c:v>14028.170759000001</c:v>
                </c:pt>
                <c:pt idx="104">
                  <c:v>14147.111354000001</c:v>
                </c:pt>
                <c:pt idx="105">
                  <c:v>14264.951666999999</c:v>
                </c:pt>
                <c:pt idx="106">
                  <c:v>14420.386759000001</c:v>
                </c:pt>
                <c:pt idx="107">
                  <c:v>14592.989256000001</c:v>
                </c:pt>
                <c:pt idx="108">
                  <c:v>14725.609892</c:v>
                </c:pt>
                <c:pt idx="109">
                  <c:v>14931.197902</c:v>
                </c:pt>
                <c:pt idx="110">
                  <c:v>15060.268185000001</c:v>
                </c:pt>
                <c:pt idx="111">
                  <c:v>15224.246281</c:v>
                </c:pt>
                <c:pt idx="112">
                  <c:v>15332.354126</c:v>
                </c:pt>
                <c:pt idx="113">
                  <c:v>15492.731544</c:v>
                </c:pt>
                <c:pt idx="114">
                  <c:v>15598.478499999999</c:v>
                </c:pt>
                <c:pt idx="115">
                  <c:v>15789.960019</c:v>
                </c:pt>
                <c:pt idx="116">
                  <c:v>15944.371222</c:v>
                </c:pt>
                <c:pt idx="117">
                  <c:v>16113.609469999999</c:v>
                </c:pt>
                <c:pt idx="118">
                  <c:v>16230.644061000001</c:v>
                </c:pt>
                <c:pt idx="119">
                  <c:v>16395.829366000002</c:v>
                </c:pt>
                <c:pt idx="120">
                  <c:v>16542.514195</c:v>
                </c:pt>
                <c:pt idx="121">
                  <c:v>16671.354121</c:v>
                </c:pt>
                <c:pt idx="122">
                  <c:v>16814.590493</c:v>
                </c:pt>
                <c:pt idx="123">
                  <c:v>16956.050228</c:v>
                </c:pt>
                <c:pt idx="124">
                  <c:v>17126.580596</c:v>
                </c:pt>
                <c:pt idx="125">
                  <c:v>17279.396832999999</c:v>
                </c:pt>
                <c:pt idx="126">
                  <c:v>17460.058119000001</c:v>
                </c:pt>
                <c:pt idx="127">
                  <c:v>17593.648502</c:v>
                </c:pt>
                <c:pt idx="128">
                  <c:v>17740.206102</c:v>
                </c:pt>
                <c:pt idx="129">
                  <c:v>17884.826647000002</c:v>
                </c:pt>
                <c:pt idx="130">
                  <c:v>18070.000074</c:v>
                </c:pt>
                <c:pt idx="131">
                  <c:v>18182.393174000001</c:v>
                </c:pt>
                <c:pt idx="132">
                  <c:v>18362.553024000001</c:v>
                </c:pt>
                <c:pt idx="133">
                  <c:v>18485.515821000001</c:v>
                </c:pt>
                <c:pt idx="134">
                  <c:v>18660.638638</c:v>
                </c:pt>
                <c:pt idx="135">
                  <c:v>18819.734627999998</c:v>
                </c:pt>
                <c:pt idx="136">
                  <c:v>18976.433992999999</c:v>
                </c:pt>
                <c:pt idx="137">
                  <c:v>19130.790481</c:v>
                </c:pt>
                <c:pt idx="138">
                  <c:v>19282.856248</c:v>
                </c:pt>
                <c:pt idx="139">
                  <c:v>19420.280789</c:v>
                </c:pt>
                <c:pt idx="140">
                  <c:v>19580.316604</c:v>
                </c:pt>
                <c:pt idx="141">
                  <c:v>19761.851476</c:v>
                </c:pt>
                <c:pt idx="142">
                  <c:v>19904.728844000001</c:v>
                </c:pt>
                <c:pt idx="143">
                  <c:v>20045.565350000001</c:v>
                </c:pt>
                <c:pt idx="144">
                  <c:v>20195.885502000001</c:v>
                </c:pt>
                <c:pt idx="145">
                  <c:v>20366.488781</c:v>
                </c:pt>
                <c:pt idx="146">
                  <c:v>20511.939674000001</c:v>
                </c:pt>
                <c:pt idx="147">
                  <c:v>20677.061035999999</c:v>
                </c:pt>
                <c:pt idx="148">
                  <c:v>20839.353685999999</c:v>
                </c:pt>
                <c:pt idx="149">
                  <c:v>20998.889695000002</c:v>
                </c:pt>
                <c:pt idx="150">
                  <c:v>21166.101430999999</c:v>
                </c:pt>
                <c:pt idx="151">
                  <c:v>21309.968035999998</c:v>
                </c:pt>
                <c:pt idx="152">
                  <c:v>21471.665145999999</c:v>
                </c:pt>
                <c:pt idx="153">
                  <c:v>21630.531982</c:v>
                </c:pt>
                <c:pt idx="154">
                  <c:v>21805.965732000001</c:v>
                </c:pt>
                <c:pt idx="155">
                  <c:v>21968.540743000001</c:v>
                </c:pt>
                <c:pt idx="156">
                  <c:v>22137.476332999999</c:v>
                </c:pt>
                <c:pt idx="157">
                  <c:v>22284.950173000001</c:v>
                </c:pt>
                <c:pt idx="158">
                  <c:v>22456.876640999999</c:v>
                </c:pt>
                <c:pt idx="159">
                  <c:v>22607.840988</c:v>
                </c:pt>
                <c:pt idx="160">
                  <c:v>22764.818349000001</c:v>
                </c:pt>
                <c:pt idx="161">
                  <c:v>22910.438340000001</c:v>
                </c:pt>
                <c:pt idx="162">
                  <c:v>23070.241693</c:v>
                </c:pt>
                <c:pt idx="163">
                  <c:v>23235.187341000001</c:v>
                </c:pt>
                <c:pt idx="164">
                  <c:v>23404.879182000001</c:v>
                </c:pt>
                <c:pt idx="165">
                  <c:v>23571.093053000001</c:v>
                </c:pt>
                <c:pt idx="166">
                  <c:v>23733.934793</c:v>
                </c:pt>
                <c:pt idx="167">
                  <c:v>23885.980072999999</c:v>
                </c:pt>
                <c:pt idx="168">
                  <c:v>24057.274204000001</c:v>
                </c:pt>
                <c:pt idx="169">
                  <c:v>24224.879762</c:v>
                </c:pt>
                <c:pt idx="170">
                  <c:v>24381.855370000001</c:v>
                </c:pt>
                <c:pt idx="171">
                  <c:v>24549.491681</c:v>
                </c:pt>
                <c:pt idx="172">
                  <c:v>24699.951392999999</c:v>
                </c:pt>
                <c:pt idx="173">
                  <c:v>24854.072</c:v>
                </c:pt>
                <c:pt idx="174">
                  <c:v>25018.024079999999</c:v>
                </c:pt>
                <c:pt idx="175">
                  <c:v>25191.052510000001</c:v>
                </c:pt>
                <c:pt idx="176">
                  <c:v>25378.560752000001</c:v>
                </c:pt>
                <c:pt idx="177">
                  <c:v>25537.170842</c:v>
                </c:pt>
                <c:pt idx="178">
                  <c:v>25698.185758</c:v>
                </c:pt>
                <c:pt idx="179">
                  <c:v>25872.828361</c:v>
                </c:pt>
                <c:pt idx="180">
                  <c:v>26037.535695999999</c:v>
                </c:pt>
                <c:pt idx="181">
                  <c:v>26198.344154999999</c:v>
                </c:pt>
                <c:pt idx="182">
                  <c:v>26355.390556999999</c:v>
                </c:pt>
                <c:pt idx="183">
                  <c:v>26534.898386000001</c:v>
                </c:pt>
                <c:pt idx="184">
                  <c:v>26719.746333999999</c:v>
                </c:pt>
                <c:pt idx="185">
                  <c:v>26889.59419</c:v>
                </c:pt>
                <c:pt idx="186">
                  <c:v>27059.829751000001</c:v>
                </c:pt>
                <c:pt idx="187">
                  <c:v>27230.245266000002</c:v>
                </c:pt>
                <c:pt idx="188">
                  <c:v>27396.099812</c:v>
                </c:pt>
                <c:pt idx="189">
                  <c:v>27561.998618000001</c:v>
                </c:pt>
                <c:pt idx="190">
                  <c:v>27736.358090999998</c:v>
                </c:pt>
                <c:pt idx="191">
                  <c:v>27897.393843999998</c:v>
                </c:pt>
                <c:pt idx="192">
                  <c:v>28045.980551000001</c:v>
                </c:pt>
                <c:pt idx="193">
                  <c:v>28214.641993000001</c:v>
                </c:pt>
                <c:pt idx="194">
                  <c:v>28386.143762</c:v>
                </c:pt>
                <c:pt idx="195">
                  <c:v>28556.291108000001</c:v>
                </c:pt>
                <c:pt idx="196">
                  <c:v>28724.975492000001</c:v>
                </c:pt>
                <c:pt idx="197">
                  <c:v>28895.597809999999</c:v>
                </c:pt>
                <c:pt idx="198">
                  <c:v>29067.739988000001</c:v>
                </c:pt>
                <c:pt idx="199">
                  <c:v>29244.280341999998</c:v>
                </c:pt>
                <c:pt idx="200">
                  <c:v>29418.180489999999</c:v>
                </c:pt>
                <c:pt idx="201">
                  <c:v>29580.220162000001</c:v>
                </c:pt>
                <c:pt idx="202">
                  <c:v>29754.992174999999</c:v>
                </c:pt>
                <c:pt idx="203">
                  <c:v>29929.503457999999</c:v>
                </c:pt>
                <c:pt idx="204">
                  <c:v>30106.219233</c:v>
                </c:pt>
                <c:pt idx="205">
                  <c:v>30276.607948000001</c:v>
                </c:pt>
                <c:pt idx="206">
                  <c:v>30451.246225999999</c:v>
                </c:pt>
                <c:pt idx="207">
                  <c:v>30621.942950000001</c:v>
                </c:pt>
                <c:pt idx="208">
                  <c:v>30788.776543</c:v>
                </c:pt>
                <c:pt idx="209">
                  <c:v>30958.679329999999</c:v>
                </c:pt>
                <c:pt idx="210">
                  <c:v>31133.143630999999</c:v>
                </c:pt>
                <c:pt idx="211">
                  <c:v>31309.137148000002</c:v>
                </c:pt>
                <c:pt idx="212">
                  <c:v>31482.015762999999</c:v>
                </c:pt>
                <c:pt idx="213">
                  <c:v>31659.439472999999</c:v>
                </c:pt>
                <c:pt idx="214">
                  <c:v>31831.142311</c:v>
                </c:pt>
                <c:pt idx="215">
                  <c:v>32011.486766999999</c:v>
                </c:pt>
                <c:pt idx="216">
                  <c:v>32185.355592</c:v>
                </c:pt>
                <c:pt idx="217">
                  <c:v>32361.094122999999</c:v>
                </c:pt>
                <c:pt idx="218">
                  <c:v>32533.309205000001</c:v>
                </c:pt>
                <c:pt idx="219">
                  <c:v>32713.552936</c:v>
                </c:pt>
                <c:pt idx="220">
                  <c:v>32887.620756999997</c:v>
                </c:pt>
                <c:pt idx="221">
                  <c:v>33063.618955999998</c:v>
                </c:pt>
                <c:pt idx="222">
                  <c:v>33241.819165000001</c:v>
                </c:pt>
                <c:pt idx="223">
                  <c:v>33422.309185999999</c:v>
                </c:pt>
                <c:pt idx="224">
                  <c:v>33578.461734999997</c:v>
                </c:pt>
                <c:pt idx="225">
                  <c:v>33757.444184</c:v>
                </c:pt>
                <c:pt idx="226">
                  <c:v>33935.002894999998</c:v>
                </c:pt>
                <c:pt idx="227">
                  <c:v>34110.459611999999</c:v>
                </c:pt>
                <c:pt idx="228">
                  <c:v>34291.891021000003</c:v>
                </c:pt>
                <c:pt idx="229">
                  <c:v>34469.851447000001</c:v>
                </c:pt>
                <c:pt idx="230">
                  <c:v>34649.140815999999</c:v>
                </c:pt>
                <c:pt idx="231">
                  <c:v>34828.991468</c:v>
                </c:pt>
                <c:pt idx="232">
                  <c:v>35004.740782000001</c:v>
                </c:pt>
                <c:pt idx="233">
                  <c:v>35185.499551000001</c:v>
                </c:pt>
                <c:pt idx="234">
                  <c:v>35364.812590000001</c:v>
                </c:pt>
                <c:pt idx="235">
                  <c:v>35547.955870999998</c:v>
                </c:pt>
                <c:pt idx="236">
                  <c:v>35728.033825999999</c:v>
                </c:pt>
                <c:pt idx="237">
                  <c:v>35908.468332999997</c:v>
                </c:pt>
                <c:pt idx="238">
                  <c:v>36090.478353999999</c:v>
                </c:pt>
                <c:pt idx="239">
                  <c:v>36274.698082000003</c:v>
                </c:pt>
                <c:pt idx="240">
                  <c:v>36466.332625000003</c:v>
                </c:pt>
                <c:pt idx="241">
                  <c:v>36647.765958999997</c:v>
                </c:pt>
                <c:pt idx="242">
                  <c:v>36830.993315</c:v>
                </c:pt>
                <c:pt idx="243">
                  <c:v>37014.677337000001</c:v>
                </c:pt>
                <c:pt idx="244">
                  <c:v>37197.369189999998</c:v>
                </c:pt>
                <c:pt idx="245">
                  <c:v>37380.135426000001</c:v>
                </c:pt>
                <c:pt idx="246">
                  <c:v>37564.608424999999</c:v>
                </c:pt>
                <c:pt idx="247">
                  <c:v>37749.685540999999</c:v>
                </c:pt>
                <c:pt idx="248">
                  <c:v>37939.907431</c:v>
                </c:pt>
                <c:pt idx="249">
                  <c:v>38124.838714999998</c:v>
                </c:pt>
                <c:pt idx="250">
                  <c:v>38309.777021000002</c:v>
                </c:pt>
                <c:pt idx="251">
                  <c:v>38495.803095000003</c:v>
                </c:pt>
                <c:pt idx="252">
                  <c:v>38721.479864000001</c:v>
                </c:pt>
                <c:pt idx="253">
                  <c:v>38947.156633999999</c:v>
                </c:pt>
                <c:pt idx="254">
                  <c:v>39172.833403999997</c:v>
                </c:pt>
                <c:pt idx="255">
                  <c:v>39398.510173000002</c:v>
                </c:pt>
                <c:pt idx="256">
                  <c:v>39624.186943000001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42-4907-A900-B687C9538011}"/>
            </c:ext>
          </c:extLst>
        </c:ser>
        <c:ser>
          <c:idx val="2"/>
          <c:order val="2"/>
          <c:tx>
            <c:strRef>
              <c:f>sdia_profile!$H$1</c:f>
              <c:strCache>
                <c:ptCount val="1"/>
                <c:pt idx="0">
                  <c:v>Gain Resistance (Theoretical)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sdia_profile!$H$2:$H$258</c:f>
              <c:numCache>
                <c:formatCode>General</c:formatCode>
                <c:ptCount val="257"/>
                <c:pt idx="0">
                  <c:v>0</c:v>
                </c:pt>
                <c:pt idx="1">
                  <c:v>195.3125</c:v>
                </c:pt>
                <c:pt idx="2">
                  <c:v>390.625</c:v>
                </c:pt>
                <c:pt idx="3">
                  <c:v>585.9375</c:v>
                </c:pt>
                <c:pt idx="4">
                  <c:v>781.25</c:v>
                </c:pt>
                <c:pt idx="5">
                  <c:v>976.5625</c:v>
                </c:pt>
                <c:pt idx="6">
                  <c:v>1171.875</c:v>
                </c:pt>
                <c:pt idx="7">
                  <c:v>1367.1875</c:v>
                </c:pt>
                <c:pt idx="8">
                  <c:v>1562.5</c:v>
                </c:pt>
                <c:pt idx="9">
                  <c:v>1757.8125</c:v>
                </c:pt>
                <c:pt idx="10">
                  <c:v>1953.125</c:v>
                </c:pt>
                <c:pt idx="11">
                  <c:v>2148.4375</c:v>
                </c:pt>
                <c:pt idx="12">
                  <c:v>2343.75</c:v>
                </c:pt>
                <c:pt idx="13">
                  <c:v>2539.0625</c:v>
                </c:pt>
                <c:pt idx="14">
                  <c:v>2734.375</c:v>
                </c:pt>
                <c:pt idx="15">
                  <c:v>2929.6875</c:v>
                </c:pt>
                <c:pt idx="16">
                  <c:v>3125</c:v>
                </c:pt>
                <c:pt idx="17">
                  <c:v>3320.3125</c:v>
                </c:pt>
                <c:pt idx="18">
                  <c:v>3515.625</c:v>
                </c:pt>
                <c:pt idx="19">
                  <c:v>3710.9375</c:v>
                </c:pt>
                <c:pt idx="20">
                  <c:v>3906.25</c:v>
                </c:pt>
                <c:pt idx="21">
                  <c:v>4101.5625</c:v>
                </c:pt>
                <c:pt idx="22">
                  <c:v>4296.875</c:v>
                </c:pt>
                <c:pt idx="23">
                  <c:v>4492.1875</c:v>
                </c:pt>
                <c:pt idx="24">
                  <c:v>4687.5</c:v>
                </c:pt>
                <c:pt idx="25">
                  <c:v>4882.8125</c:v>
                </c:pt>
                <c:pt idx="26">
                  <c:v>5078.125</c:v>
                </c:pt>
                <c:pt idx="27">
                  <c:v>5273.4375</c:v>
                </c:pt>
                <c:pt idx="28">
                  <c:v>5468.75</c:v>
                </c:pt>
                <c:pt idx="29">
                  <c:v>5664.0625</c:v>
                </c:pt>
                <c:pt idx="30">
                  <c:v>5859.375</c:v>
                </c:pt>
                <c:pt idx="31">
                  <c:v>6054.6875</c:v>
                </c:pt>
                <c:pt idx="32">
                  <c:v>6250</c:v>
                </c:pt>
                <c:pt idx="33">
                  <c:v>6445.3125</c:v>
                </c:pt>
                <c:pt idx="34">
                  <c:v>6640.625</c:v>
                </c:pt>
                <c:pt idx="35">
                  <c:v>6835.9375</c:v>
                </c:pt>
                <c:pt idx="36">
                  <c:v>7031.25</c:v>
                </c:pt>
                <c:pt idx="37">
                  <c:v>7226.5625</c:v>
                </c:pt>
                <c:pt idx="38">
                  <c:v>7421.875</c:v>
                </c:pt>
                <c:pt idx="39">
                  <c:v>7617.1875</c:v>
                </c:pt>
                <c:pt idx="40">
                  <c:v>7812.5</c:v>
                </c:pt>
                <c:pt idx="41">
                  <c:v>8007.8125</c:v>
                </c:pt>
                <c:pt idx="42">
                  <c:v>8203.125</c:v>
                </c:pt>
                <c:pt idx="43">
                  <c:v>8398.4375</c:v>
                </c:pt>
                <c:pt idx="44">
                  <c:v>8593.75</c:v>
                </c:pt>
                <c:pt idx="45">
                  <c:v>8789.0625</c:v>
                </c:pt>
                <c:pt idx="46">
                  <c:v>8984.375</c:v>
                </c:pt>
                <c:pt idx="47">
                  <c:v>9179.6875</c:v>
                </c:pt>
                <c:pt idx="48">
                  <c:v>9375</c:v>
                </c:pt>
                <c:pt idx="49">
                  <c:v>9570.3125</c:v>
                </c:pt>
                <c:pt idx="50">
                  <c:v>9765.625</c:v>
                </c:pt>
                <c:pt idx="51">
                  <c:v>9960.9375</c:v>
                </c:pt>
                <c:pt idx="52">
                  <c:v>10156.25</c:v>
                </c:pt>
                <c:pt idx="53">
                  <c:v>10351.5625</c:v>
                </c:pt>
                <c:pt idx="54">
                  <c:v>10546.875</c:v>
                </c:pt>
                <c:pt idx="55">
                  <c:v>10742.1875</c:v>
                </c:pt>
                <c:pt idx="56">
                  <c:v>10937.5</c:v>
                </c:pt>
                <c:pt idx="57">
                  <c:v>11132.8125</c:v>
                </c:pt>
                <c:pt idx="58">
                  <c:v>11328.125</c:v>
                </c:pt>
                <c:pt idx="59">
                  <c:v>11523.4375</c:v>
                </c:pt>
                <c:pt idx="60">
                  <c:v>11718.75</c:v>
                </c:pt>
                <c:pt idx="61">
                  <c:v>11914.0625</c:v>
                </c:pt>
                <c:pt idx="62">
                  <c:v>12109.375</c:v>
                </c:pt>
                <c:pt idx="63">
                  <c:v>12304.6875</c:v>
                </c:pt>
                <c:pt idx="64">
                  <c:v>12500</c:v>
                </c:pt>
                <c:pt idx="65">
                  <c:v>12695.3125</c:v>
                </c:pt>
                <c:pt idx="66">
                  <c:v>12890.625</c:v>
                </c:pt>
                <c:pt idx="67">
                  <c:v>13085.9375</c:v>
                </c:pt>
                <c:pt idx="68">
                  <c:v>13281.25</c:v>
                </c:pt>
                <c:pt idx="69">
                  <c:v>13476.5625</c:v>
                </c:pt>
                <c:pt idx="70">
                  <c:v>13671.875</c:v>
                </c:pt>
                <c:pt idx="71">
                  <c:v>13867.1875</c:v>
                </c:pt>
                <c:pt idx="72">
                  <c:v>14062.5</c:v>
                </c:pt>
                <c:pt idx="73">
                  <c:v>14257.8125</c:v>
                </c:pt>
                <c:pt idx="74">
                  <c:v>14453.125</c:v>
                </c:pt>
                <c:pt idx="75">
                  <c:v>14648.4375</c:v>
                </c:pt>
                <c:pt idx="76">
                  <c:v>14843.75</c:v>
                </c:pt>
                <c:pt idx="77">
                  <c:v>15039.0625</c:v>
                </c:pt>
                <c:pt idx="78">
                  <c:v>15234.375</c:v>
                </c:pt>
                <c:pt idx="79">
                  <c:v>15429.6875</c:v>
                </c:pt>
                <c:pt idx="80">
                  <c:v>15625</c:v>
                </c:pt>
                <c:pt idx="81">
                  <c:v>15820.3125</c:v>
                </c:pt>
                <c:pt idx="82">
                  <c:v>16015.625</c:v>
                </c:pt>
                <c:pt idx="83">
                  <c:v>16210.9375</c:v>
                </c:pt>
                <c:pt idx="84">
                  <c:v>16406.25</c:v>
                </c:pt>
                <c:pt idx="85">
                  <c:v>16601.5625</c:v>
                </c:pt>
                <c:pt idx="86">
                  <c:v>16796.875</c:v>
                </c:pt>
                <c:pt idx="87">
                  <c:v>16992.1875</c:v>
                </c:pt>
                <c:pt idx="88">
                  <c:v>17187.5</c:v>
                </c:pt>
                <c:pt idx="89">
                  <c:v>17382.8125</c:v>
                </c:pt>
                <c:pt idx="90">
                  <c:v>17578.125</c:v>
                </c:pt>
                <c:pt idx="91">
                  <c:v>17773.4375</c:v>
                </c:pt>
                <c:pt idx="92">
                  <c:v>17968.75</c:v>
                </c:pt>
                <c:pt idx="93">
                  <c:v>18164.0625</c:v>
                </c:pt>
                <c:pt idx="94">
                  <c:v>18359.375</c:v>
                </c:pt>
                <c:pt idx="95">
                  <c:v>18554.6875</c:v>
                </c:pt>
                <c:pt idx="96">
                  <c:v>18750</c:v>
                </c:pt>
                <c:pt idx="97">
                  <c:v>18945.3125</c:v>
                </c:pt>
                <c:pt idx="98">
                  <c:v>19140.625</c:v>
                </c:pt>
                <c:pt idx="99">
                  <c:v>19335.9375</c:v>
                </c:pt>
                <c:pt idx="100">
                  <c:v>19531.25</c:v>
                </c:pt>
                <c:pt idx="101">
                  <c:v>19726.5625</c:v>
                </c:pt>
                <c:pt idx="102">
                  <c:v>19921.875</c:v>
                </c:pt>
                <c:pt idx="103">
                  <c:v>20117.1875</c:v>
                </c:pt>
                <c:pt idx="104">
                  <c:v>20312.5</c:v>
                </c:pt>
                <c:pt idx="105">
                  <c:v>20507.8125</c:v>
                </c:pt>
                <c:pt idx="106">
                  <c:v>20703.125</c:v>
                </c:pt>
                <c:pt idx="107">
                  <c:v>20898.4375</c:v>
                </c:pt>
                <c:pt idx="108">
                  <c:v>21093.75</c:v>
                </c:pt>
                <c:pt idx="109">
                  <c:v>21289.0625</c:v>
                </c:pt>
                <c:pt idx="110">
                  <c:v>21484.375</c:v>
                </c:pt>
                <c:pt idx="111">
                  <c:v>21679.6875</c:v>
                </c:pt>
                <c:pt idx="112">
                  <c:v>21875</c:v>
                </c:pt>
                <c:pt idx="113">
                  <c:v>22070.3125</c:v>
                </c:pt>
                <c:pt idx="114">
                  <c:v>22265.625</c:v>
                </c:pt>
                <c:pt idx="115">
                  <c:v>22460.9375</c:v>
                </c:pt>
                <c:pt idx="116">
                  <c:v>22656.25</c:v>
                </c:pt>
                <c:pt idx="117">
                  <c:v>22851.5625</c:v>
                </c:pt>
                <c:pt idx="118">
                  <c:v>23046.875</c:v>
                </c:pt>
                <c:pt idx="119">
                  <c:v>23242.1875</c:v>
                </c:pt>
                <c:pt idx="120">
                  <c:v>23437.5</c:v>
                </c:pt>
                <c:pt idx="121">
                  <c:v>23632.8125</c:v>
                </c:pt>
                <c:pt idx="122">
                  <c:v>23828.125</c:v>
                </c:pt>
                <c:pt idx="123">
                  <c:v>24023.4375</c:v>
                </c:pt>
                <c:pt idx="124">
                  <c:v>24218.75</c:v>
                </c:pt>
                <c:pt idx="125">
                  <c:v>24414.0625</c:v>
                </c:pt>
                <c:pt idx="126">
                  <c:v>24609.375</c:v>
                </c:pt>
                <c:pt idx="127">
                  <c:v>24804.6875</c:v>
                </c:pt>
                <c:pt idx="128">
                  <c:v>25000</c:v>
                </c:pt>
                <c:pt idx="129">
                  <c:v>25195.3125</c:v>
                </c:pt>
                <c:pt idx="130">
                  <c:v>25390.625</c:v>
                </c:pt>
                <c:pt idx="131">
                  <c:v>25585.9375</c:v>
                </c:pt>
                <c:pt idx="132">
                  <c:v>25781.25</c:v>
                </c:pt>
                <c:pt idx="133">
                  <c:v>25976.5625</c:v>
                </c:pt>
                <c:pt idx="134">
                  <c:v>26171.875</c:v>
                </c:pt>
                <c:pt idx="135">
                  <c:v>26367.1875</c:v>
                </c:pt>
                <c:pt idx="136">
                  <c:v>26562.5</c:v>
                </c:pt>
                <c:pt idx="137">
                  <c:v>26757.8125</c:v>
                </c:pt>
                <c:pt idx="138">
                  <c:v>26953.125</c:v>
                </c:pt>
                <c:pt idx="139">
                  <c:v>27148.4375</c:v>
                </c:pt>
                <c:pt idx="140">
                  <c:v>27343.75</c:v>
                </c:pt>
                <c:pt idx="141">
                  <c:v>27539.0625</c:v>
                </c:pt>
                <c:pt idx="142">
                  <c:v>27734.375</c:v>
                </c:pt>
                <c:pt idx="143">
                  <c:v>27929.6875</c:v>
                </c:pt>
                <c:pt idx="144">
                  <c:v>28125</c:v>
                </c:pt>
                <c:pt idx="145">
                  <c:v>28320.3125</c:v>
                </c:pt>
                <c:pt idx="146">
                  <c:v>28515.625</c:v>
                </c:pt>
                <c:pt idx="147">
                  <c:v>28710.9375</c:v>
                </c:pt>
                <c:pt idx="148">
                  <c:v>28906.25</c:v>
                </c:pt>
                <c:pt idx="149">
                  <c:v>29101.5625</c:v>
                </c:pt>
                <c:pt idx="150">
                  <c:v>29296.875</c:v>
                </c:pt>
                <c:pt idx="151">
                  <c:v>29492.1875</c:v>
                </c:pt>
                <c:pt idx="152">
                  <c:v>29687.5</c:v>
                </c:pt>
                <c:pt idx="153">
                  <c:v>29882.8125</c:v>
                </c:pt>
                <c:pt idx="154">
                  <c:v>30078.125</c:v>
                </c:pt>
                <c:pt idx="155">
                  <c:v>30273.4375</c:v>
                </c:pt>
                <c:pt idx="156">
                  <c:v>30468.75</c:v>
                </c:pt>
                <c:pt idx="157">
                  <c:v>30664.0625</c:v>
                </c:pt>
                <c:pt idx="158">
                  <c:v>30859.375</c:v>
                </c:pt>
                <c:pt idx="159">
                  <c:v>31054.6875</c:v>
                </c:pt>
                <c:pt idx="160">
                  <c:v>31250</c:v>
                </c:pt>
                <c:pt idx="161">
                  <c:v>31445.3125</c:v>
                </c:pt>
                <c:pt idx="162">
                  <c:v>31640.625</c:v>
                </c:pt>
                <c:pt idx="163">
                  <c:v>31835.9375</c:v>
                </c:pt>
                <c:pt idx="164">
                  <c:v>32031.25</c:v>
                </c:pt>
                <c:pt idx="165">
                  <c:v>32226.5625</c:v>
                </c:pt>
                <c:pt idx="166">
                  <c:v>32421.875</c:v>
                </c:pt>
                <c:pt idx="167">
                  <c:v>32617.1875</c:v>
                </c:pt>
                <c:pt idx="168">
                  <c:v>32812.5</c:v>
                </c:pt>
                <c:pt idx="169">
                  <c:v>33007.8125</c:v>
                </c:pt>
                <c:pt idx="170">
                  <c:v>33203.125</c:v>
                </c:pt>
                <c:pt idx="171">
                  <c:v>33398.4375</c:v>
                </c:pt>
                <c:pt idx="172">
                  <c:v>33593.75</c:v>
                </c:pt>
                <c:pt idx="173">
                  <c:v>33789.0625</c:v>
                </c:pt>
                <c:pt idx="174">
                  <c:v>33984.375</c:v>
                </c:pt>
                <c:pt idx="175">
                  <c:v>34179.6875</c:v>
                </c:pt>
                <c:pt idx="176">
                  <c:v>34375</c:v>
                </c:pt>
                <c:pt idx="177">
                  <c:v>34570.3125</c:v>
                </c:pt>
                <c:pt idx="178">
                  <c:v>34765.625</c:v>
                </c:pt>
                <c:pt idx="179">
                  <c:v>34960.9375</c:v>
                </c:pt>
                <c:pt idx="180">
                  <c:v>35156.25</c:v>
                </c:pt>
                <c:pt idx="181">
                  <c:v>35351.5625</c:v>
                </c:pt>
                <c:pt idx="182">
                  <c:v>35546.875</c:v>
                </c:pt>
                <c:pt idx="183">
                  <c:v>35742.1875</c:v>
                </c:pt>
                <c:pt idx="184">
                  <c:v>35937.5</c:v>
                </c:pt>
                <c:pt idx="185">
                  <c:v>36132.8125</c:v>
                </c:pt>
                <c:pt idx="186">
                  <c:v>36328.125</c:v>
                </c:pt>
                <c:pt idx="187">
                  <c:v>36523.4375</c:v>
                </c:pt>
                <c:pt idx="188">
                  <c:v>36718.75</c:v>
                </c:pt>
                <c:pt idx="189">
                  <c:v>36914.0625</c:v>
                </c:pt>
                <c:pt idx="190">
                  <c:v>37109.375</c:v>
                </c:pt>
                <c:pt idx="191">
                  <c:v>37304.6875</c:v>
                </c:pt>
                <c:pt idx="192">
                  <c:v>37500</c:v>
                </c:pt>
                <c:pt idx="193">
                  <c:v>37695.3125</c:v>
                </c:pt>
                <c:pt idx="194">
                  <c:v>37890.625</c:v>
                </c:pt>
                <c:pt idx="195">
                  <c:v>38085.9375</c:v>
                </c:pt>
                <c:pt idx="196">
                  <c:v>38281.25</c:v>
                </c:pt>
                <c:pt idx="197">
                  <c:v>38476.5625</c:v>
                </c:pt>
                <c:pt idx="198">
                  <c:v>38671.875</c:v>
                </c:pt>
                <c:pt idx="199">
                  <c:v>38867.1875</c:v>
                </c:pt>
                <c:pt idx="200">
                  <c:v>39062.5</c:v>
                </c:pt>
                <c:pt idx="201">
                  <c:v>39257.8125</c:v>
                </c:pt>
                <c:pt idx="202">
                  <c:v>39453.125</c:v>
                </c:pt>
                <c:pt idx="203">
                  <c:v>39648.4375</c:v>
                </c:pt>
                <c:pt idx="204">
                  <c:v>39843.75</c:v>
                </c:pt>
                <c:pt idx="205">
                  <c:v>40039.0625</c:v>
                </c:pt>
                <c:pt idx="206">
                  <c:v>40234.375</c:v>
                </c:pt>
                <c:pt idx="207">
                  <c:v>40429.6875</c:v>
                </c:pt>
                <c:pt idx="208">
                  <c:v>40625</c:v>
                </c:pt>
                <c:pt idx="209">
                  <c:v>40820.3125</c:v>
                </c:pt>
                <c:pt idx="210">
                  <c:v>41015.625</c:v>
                </c:pt>
                <c:pt idx="211">
                  <c:v>41210.9375</c:v>
                </c:pt>
                <c:pt idx="212">
                  <c:v>41406.25</c:v>
                </c:pt>
                <c:pt idx="213">
                  <c:v>41601.5625</c:v>
                </c:pt>
                <c:pt idx="214">
                  <c:v>41796.875</c:v>
                </c:pt>
                <c:pt idx="215">
                  <c:v>41992.1875</c:v>
                </c:pt>
                <c:pt idx="216">
                  <c:v>42187.5</c:v>
                </c:pt>
                <c:pt idx="217">
                  <c:v>42382.8125</c:v>
                </c:pt>
                <c:pt idx="218">
                  <c:v>42578.125</c:v>
                </c:pt>
                <c:pt idx="219">
                  <c:v>42773.4375</c:v>
                </c:pt>
                <c:pt idx="220">
                  <c:v>42968.75</c:v>
                </c:pt>
                <c:pt idx="221">
                  <c:v>43164.0625</c:v>
                </c:pt>
                <c:pt idx="222">
                  <c:v>43359.375</c:v>
                </c:pt>
                <c:pt idx="223">
                  <c:v>43554.6875</c:v>
                </c:pt>
                <c:pt idx="224">
                  <c:v>43750</c:v>
                </c:pt>
                <c:pt idx="225">
                  <c:v>43945.3125</c:v>
                </c:pt>
                <c:pt idx="226">
                  <c:v>44140.625</c:v>
                </c:pt>
                <c:pt idx="227">
                  <c:v>44335.9375</c:v>
                </c:pt>
                <c:pt idx="228">
                  <c:v>44531.25</c:v>
                </c:pt>
                <c:pt idx="229">
                  <c:v>44726.5625</c:v>
                </c:pt>
                <c:pt idx="230">
                  <c:v>44921.875</c:v>
                </c:pt>
                <c:pt idx="231">
                  <c:v>45117.1875</c:v>
                </c:pt>
                <c:pt idx="232">
                  <c:v>45312.5</c:v>
                </c:pt>
                <c:pt idx="233">
                  <c:v>45507.8125</c:v>
                </c:pt>
                <c:pt idx="234">
                  <c:v>45703.125</c:v>
                </c:pt>
                <c:pt idx="235">
                  <c:v>45898.4375</c:v>
                </c:pt>
                <c:pt idx="236">
                  <c:v>46093.75</c:v>
                </c:pt>
                <c:pt idx="237">
                  <c:v>46289.0625</c:v>
                </c:pt>
                <c:pt idx="238">
                  <c:v>46484.375</c:v>
                </c:pt>
                <c:pt idx="239">
                  <c:v>46679.6875</c:v>
                </c:pt>
                <c:pt idx="240">
                  <c:v>46875</c:v>
                </c:pt>
                <c:pt idx="241">
                  <c:v>47070.3125</c:v>
                </c:pt>
                <c:pt idx="242">
                  <c:v>47265.625</c:v>
                </c:pt>
                <c:pt idx="243">
                  <c:v>47460.9375</c:v>
                </c:pt>
                <c:pt idx="244">
                  <c:v>47656.25</c:v>
                </c:pt>
                <c:pt idx="245">
                  <c:v>47851.5625</c:v>
                </c:pt>
                <c:pt idx="246">
                  <c:v>48046.875</c:v>
                </c:pt>
                <c:pt idx="247">
                  <c:v>48242.1875</c:v>
                </c:pt>
                <c:pt idx="248">
                  <c:v>48437.5</c:v>
                </c:pt>
                <c:pt idx="249">
                  <c:v>48632.8125</c:v>
                </c:pt>
                <c:pt idx="250">
                  <c:v>48828.125</c:v>
                </c:pt>
                <c:pt idx="251">
                  <c:v>49023.4375</c:v>
                </c:pt>
                <c:pt idx="252">
                  <c:v>49218.75</c:v>
                </c:pt>
                <c:pt idx="253">
                  <c:v>49414.0625</c:v>
                </c:pt>
                <c:pt idx="254">
                  <c:v>49609.375</c:v>
                </c:pt>
                <c:pt idx="255">
                  <c:v>49804.6875</c:v>
                </c:pt>
                <c:pt idx="256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F-441F-BABA-06F6F1B6F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761951"/>
        <c:axId val="1493643871"/>
      </c:scatterChart>
      <c:valAx>
        <c:axId val="1493761951"/>
        <c:scaling>
          <c:orientation val="minMax"/>
          <c:max val="25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Wiper</a:t>
                </a:r>
                <a:r>
                  <a:rPr lang="en-US" sz="1400" baseline="0"/>
                  <a:t> Step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43871"/>
        <c:crosses val="autoZero"/>
        <c:crossBetween val="midCat"/>
      </c:valAx>
      <c:valAx>
        <c:axId val="1493643871"/>
        <c:scaling>
          <c:orientation val="minMax"/>
          <c:max val="5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Gain Resistance (Ohms)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991141817693865E-2"/>
          <c:y val="0.95322917148195874"/>
          <c:w val="0.9073114728676871"/>
          <c:h val="3.7067020078860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Gain</a:t>
            </a:r>
            <a:r>
              <a:rPr lang="en-US" sz="1800" baseline="0"/>
              <a:t> Resistance Error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sdia_profile!$A$2:$A$258</c:f>
              <c:numCache>
                <c:formatCode>General</c:formatCode>
                <c:ptCount val="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</c:numCache>
            </c:numRef>
          </c:xVal>
          <c:yVal>
            <c:numRef>
              <c:f>sdia_profile!$I$2:$I$258</c:f>
              <c:numCache>
                <c:formatCode>0.00%</c:formatCode>
                <c:ptCount val="257"/>
                <c:pt idx="0">
                  <c:v>0</c:v>
                </c:pt>
                <c:pt idx="1">
                  <c:v>6.2223513600000009E-2</c:v>
                </c:pt>
                <c:pt idx="2">
                  <c:v>-0.11736765184000003</c:v>
                </c:pt>
                <c:pt idx="3">
                  <c:v>-0.29491127125333333</c:v>
                </c:pt>
                <c:pt idx="4">
                  <c:v>-3.7435900160000021E-2</c:v>
                </c:pt>
                <c:pt idx="5">
                  <c:v>-0.16114379571199999</c:v>
                </c:pt>
                <c:pt idx="6">
                  <c:v>-0.18676821248000003</c:v>
                </c:pt>
                <c:pt idx="7">
                  <c:v>-0.15717586505142855</c:v>
                </c:pt>
                <c:pt idx="8">
                  <c:v>-0.22025393727999995</c:v>
                </c:pt>
                <c:pt idx="9">
                  <c:v>-8.3642057386666607E-2</c:v>
                </c:pt>
                <c:pt idx="10">
                  <c:v>-0.17527785164799994</c:v>
                </c:pt>
                <c:pt idx="11">
                  <c:v>-0.16007219386181815</c:v>
                </c:pt>
                <c:pt idx="12">
                  <c:v>-6.6798643626666751E-2</c:v>
                </c:pt>
                <c:pt idx="13">
                  <c:v>-6.4165581981538475E-2</c:v>
                </c:pt>
                <c:pt idx="14">
                  <c:v>-6.2478822399999981E-2</c:v>
                </c:pt>
                <c:pt idx="15">
                  <c:v>-0.10377626077866663</c:v>
                </c:pt>
                <c:pt idx="16">
                  <c:v>-0.15979024447999995</c:v>
                </c:pt>
                <c:pt idx="17">
                  <c:v>-0.13488784052705885</c:v>
                </c:pt>
                <c:pt idx="18">
                  <c:v>-0.13080295708444448</c:v>
                </c:pt>
                <c:pt idx="19">
                  <c:v>-0.11130445608421058</c:v>
                </c:pt>
                <c:pt idx="20">
                  <c:v>-0.12499839641599997</c:v>
                </c:pt>
                <c:pt idx="21">
                  <c:v>-0.15208581510095237</c:v>
                </c:pt>
                <c:pt idx="22">
                  <c:v>-0.1079088081454546</c:v>
                </c:pt>
                <c:pt idx="23">
                  <c:v>-0.10760830508521738</c:v>
                </c:pt>
                <c:pt idx="24">
                  <c:v>-0.11998476821333325</c:v>
                </c:pt>
                <c:pt idx="25">
                  <c:v>-0.11970017259519994</c:v>
                </c:pt>
                <c:pt idx="26">
                  <c:v>-8.6122861883076843E-2</c:v>
                </c:pt>
                <c:pt idx="27">
                  <c:v>-8.788334610962964E-2</c:v>
                </c:pt>
                <c:pt idx="28">
                  <c:v>-0.13074556873142854</c:v>
                </c:pt>
                <c:pt idx="29">
                  <c:v>-0.10151521756689659</c:v>
                </c:pt>
                <c:pt idx="30">
                  <c:v>-7.5118346240000022E-2</c:v>
                </c:pt>
                <c:pt idx="31">
                  <c:v>-9.5946969021935502E-2</c:v>
                </c:pt>
                <c:pt idx="32">
                  <c:v>-0.10681616240000003</c:v>
                </c:pt>
                <c:pt idx="33">
                  <c:v>-8.3830374555151452E-2</c:v>
                </c:pt>
                <c:pt idx="34">
                  <c:v>-7.8800346654117628E-2</c:v>
                </c:pt>
                <c:pt idx="35">
                  <c:v>-9.7403827053714281E-2</c:v>
                </c:pt>
                <c:pt idx="36">
                  <c:v>-7.7858712888888931E-2</c:v>
                </c:pt>
                <c:pt idx="37">
                  <c:v>-9.5609754568648619E-2</c:v>
                </c:pt>
                <c:pt idx="38">
                  <c:v>-0.10549598841263153</c:v>
                </c:pt>
                <c:pt idx="39">
                  <c:v>-8.8165806342564074E-2</c:v>
                </c:pt>
                <c:pt idx="40">
                  <c:v>-0.11746423398400005</c:v>
                </c:pt>
                <c:pt idx="41">
                  <c:v>-0.10116055939121955</c:v>
                </c:pt>
                <c:pt idx="42">
                  <c:v>-9.2203204754285756E-2</c:v>
                </c:pt>
                <c:pt idx="43">
                  <c:v>-8.9853544424186069E-2</c:v>
                </c:pt>
                <c:pt idx="44">
                  <c:v>-9.3489090327272747E-2</c:v>
                </c:pt>
                <c:pt idx="45">
                  <c:v>-9.1594473585777811E-2</c:v>
                </c:pt>
                <c:pt idx="46">
                  <c:v>-8.9989990399999983E-2</c:v>
                </c:pt>
                <c:pt idx="47">
                  <c:v>-9.8978180030638227E-2</c:v>
                </c:pt>
                <c:pt idx="48">
                  <c:v>-0.10764056757333339</c:v>
                </c:pt>
                <c:pt idx="49">
                  <c:v>-9.1563715291428663E-2</c:v>
                </c:pt>
                <c:pt idx="50">
                  <c:v>-0.10023420006399993</c:v>
                </c:pt>
                <c:pt idx="51">
                  <c:v>-9.0203838644705936E-2</c:v>
                </c:pt>
                <c:pt idx="52">
                  <c:v>-8.5373957612307635E-2</c:v>
                </c:pt>
                <c:pt idx="53">
                  <c:v>-7.6681526774339689E-2</c:v>
                </c:pt>
                <c:pt idx="54">
                  <c:v>-8.5369129339259262E-2</c:v>
                </c:pt>
                <c:pt idx="55">
                  <c:v>-8.5597259310545404E-2</c:v>
                </c:pt>
                <c:pt idx="56">
                  <c:v>-8.1998096639999921E-2</c:v>
                </c:pt>
                <c:pt idx="57">
                  <c:v>-9.8103393190175359E-2</c:v>
                </c:pt>
                <c:pt idx="58">
                  <c:v>-9.4632308259310266E-2</c:v>
                </c:pt>
                <c:pt idx="59">
                  <c:v>-8.4155113350508445E-2</c:v>
                </c:pt>
                <c:pt idx="60">
                  <c:v>-7.4426493781333328E-2</c:v>
                </c:pt>
                <c:pt idx="61">
                  <c:v>-7.5725214552131229E-2</c:v>
                </c:pt>
                <c:pt idx="62">
                  <c:v>-8.0474627220645217E-2</c:v>
                </c:pt>
                <c:pt idx="63">
                  <c:v>-8.1844465127619101E-2</c:v>
                </c:pt>
                <c:pt idx="64">
                  <c:v>-8.6501875279999946E-2</c:v>
                </c:pt>
                <c:pt idx="65">
                  <c:v>-8.4796071463384595E-2</c:v>
                </c:pt>
                <c:pt idx="66">
                  <c:v>-8.3311733837575702E-2</c:v>
                </c:pt>
                <c:pt idx="67">
                  <c:v>-6.7240627123582142E-2</c:v>
                </c:pt>
                <c:pt idx="68">
                  <c:v>-8.0957676724705926E-2</c:v>
                </c:pt>
                <c:pt idx="69">
                  <c:v>-8.0065012795362295E-2</c:v>
                </c:pt>
                <c:pt idx="70">
                  <c:v>-7.934781162057139E-2</c:v>
                </c:pt>
                <c:pt idx="71">
                  <c:v>-7.8796298095774639E-2</c:v>
                </c:pt>
                <c:pt idx="72">
                  <c:v>-8.3660292906666614E-2</c:v>
                </c:pt>
                <c:pt idx="73">
                  <c:v>-8.0717648517260307E-2</c:v>
                </c:pt>
                <c:pt idx="74">
                  <c:v>-8.0549176320000054E-2</c:v>
                </c:pt>
                <c:pt idx="75">
                  <c:v>-8.5416889753599956E-2</c:v>
                </c:pt>
                <c:pt idx="76">
                  <c:v>-8.5394774635789525E-2</c:v>
                </c:pt>
                <c:pt idx="77">
                  <c:v>-8.3155728290909059E-2</c:v>
                </c:pt>
                <c:pt idx="78">
                  <c:v>-8.3428168270769293E-2</c:v>
                </c:pt>
                <c:pt idx="79">
                  <c:v>-7.7132296749367085E-2</c:v>
                </c:pt>
                <c:pt idx="80">
                  <c:v>-7.9938730880000045E-2</c:v>
                </c:pt>
                <c:pt idx="81">
                  <c:v>-8.4877131219753127E-2</c:v>
                </c:pt>
                <c:pt idx="82">
                  <c:v>-8.3467938528780525E-2</c:v>
                </c:pt>
                <c:pt idx="83">
                  <c:v>-8.2241835057349444E-2</c:v>
                </c:pt>
                <c:pt idx="84">
                  <c:v>-8.5166351725714323E-2</c:v>
                </c:pt>
                <c:pt idx="85">
                  <c:v>-8.0302679160470583E-2</c:v>
                </c:pt>
                <c:pt idx="86">
                  <c:v>-7.3911057146046483E-2</c:v>
                </c:pt>
                <c:pt idx="87">
                  <c:v>-7.8991987111724102E-2</c:v>
                </c:pt>
                <c:pt idx="88">
                  <c:v>-8.217390522181818E-2</c:v>
                </c:pt>
                <c:pt idx="89">
                  <c:v>-7.6484827239550551E-2</c:v>
                </c:pt>
                <c:pt idx="90">
                  <c:v>-7.6348649813333322E-2</c:v>
                </c:pt>
                <c:pt idx="91">
                  <c:v>-7.1293968316483422E-2</c:v>
                </c:pt>
                <c:pt idx="92">
                  <c:v>-7.8081410059130385E-2</c:v>
                </c:pt>
                <c:pt idx="93">
                  <c:v>-8.1488392863655959E-2</c:v>
                </c:pt>
                <c:pt idx="94">
                  <c:v>-7.6953343074042543E-2</c:v>
                </c:pt>
                <c:pt idx="95">
                  <c:v>-7.5823659978105251E-2</c:v>
                </c:pt>
                <c:pt idx="96">
                  <c:v>-7.9379992106666714E-2</c:v>
                </c:pt>
                <c:pt idx="97">
                  <c:v>-8.1423472534433078E-2</c:v>
                </c:pt>
                <c:pt idx="98">
                  <c:v>-7.7698321920000021E-2</c:v>
                </c:pt>
                <c:pt idx="99">
                  <c:v>-7.5667351221010051E-2</c:v>
                </c:pt>
                <c:pt idx="100">
                  <c:v>-7.5214496563199909E-2</c:v>
                </c:pt>
                <c:pt idx="101">
                  <c:v>-7.0865122598019789E-2</c:v>
                </c:pt>
                <c:pt idx="102">
                  <c:v>-7.469183934745105E-2</c:v>
                </c:pt>
                <c:pt idx="103">
                  <c:v>-7.3324369770873851E-2</c:v>
                </c:pt>
                <c:pt idx="104">
                  <c:v>-7.9694510030769203E-2</c:v>
                </c:pt>
                <c:pt idx="105">
                  <c:v>-7.4778906038857104E-2</c:v>
                </c:pt>
                <c:pt idx="106">
                  <c:v>-7.5019005198490654E-2</c:v>
                </c:pt>
                <c:pt idx="107">
                  <c:v>-7.4178001154392575E-2</c:v>
                </c:pt>
                <c:pt idx="108">
                  <c:v>-7.0038724029629698E-2</c:v>
                </c:pt>
                <c:pt idx="109">
                  <c:v>-6.9558514143119338E-2</c:v>
                </c:pt>
                <c:pt idx="110">
                  <c:v>-6.7024055016727271E-2</c:v>
                </c:pt>
                <c:pt idx="111">
                  <c:v>-6.6845530960720767E-2</c:v>
                </c:pt>
                <c:pt idx="112">
                  <c:v>-7.096636594285706E-2</c:v>
                </c:pt>
                <c:pt idx="113">
                  <c:v>-6.9898429258760983E-2</c:v>
                </c:pt>
                <c:pt idx="114">
                  <c:v>-6.6987928701754365E-2</c:v>
                </c:pt>
                <c:pt idx="115">
                  <c:v>-6.9198970568347881E-2</c:v>
                </c:pt>
                <c:pt idx="116">
                  <c:v>-6.8553121368275821E-2</c:v>
                </c:pt>
                <c:pt idx="117">
                  <c:v>-6.6177130688547012E-2</c:v>
                </c:pt>
                <c:pt idx="118">
                  <c:v>-6.7662399479322038E-2</c:v>
                </c:pt>
                <c:pt idx="119">
                  <c:v>-6.5623119252436954E-2</c:v>
                </c:pt>
                <c:pt idx="120">
                  <c:v>-7.0768685013333332E-2</c:v>
                </c:pt>
                <c:pt idx="121">
                  <c:v>-6.8095087412892538E-2</c:v>
                </c:pt>
                <c:pt idx="122">
                  <c:v>-6.8158239979016461E-2</c:v>
                </c:pt>
                <c:pt idx="123">
                  <c:v>-6.7507967916747957E-2</c:v>
                </c:pt>
                <c:pt idx="124">
                  <c:v>-6.4606720743225737E-2</c:v>
                </c:pt>
                <c:pt idx="125">
                  <c:v>-6.6607916113920057E-2</c:v>
                </c:pt>
                <c:pt idx="126">
                  <c:v>-6.5585657904761882E-2</c:v>
                </c:pt>
                <c:pt idx="127">
                  <c:v>-6.5459336224252027E-2</c:v>
                </c:pt>
                <c:pt idx="128">
                  <c:v>-6.9089234880000003E-2</c:v>
                </c:pt>
                <c:pt idx="129">
                  <c:v>-6.9816650736124017E-2</c:v>
                </c:pt>
                <c:pt idx="130">
                  <c:v>-6.573421075692315E-2</c:v>
                </c:pt>
                <c:pt idx="131">
                  <c:v>-6.3320185199389312E-2</c:v>
                </c:pt>
                <c:pt idx="132">
                  <c:v>-6.5088602259393891E-2</c:v>
                </c:pt>
                <c:pt idx="133">
                  <c:v>-6.4299923402105316E-2</c:v>
                </c:pt>
                <c:pt idx="134">
                  <c:v>-6.3654890870447761E-2</c:v>
                </c:pt>
                <c:pt idx="135">
                  <c:v>-6.1918552708740728E-2</c:v>
                </c:pt>
                <c:pt idx="136">
                  <c:v>-6.1570922014117652E-2</c:v>
                </c:pt>
                <c:pt idx="137">
                  <c:v>-6.2518151586569412E-2</c:v>
                </c:pt>
                <c:pt idx="138">
                  <c:v>-6.410640198492755E-2</c:v>
                </c:pt>
                <c:pt idx="139">
                  <c:v>-6.1808417814100736E-2</c:v>
                </c:pt>
                <c:pt idx="140">
                  <c:v>-6.3003946203428585E-2</c:v>
                </c:pt>
                <c:pt idx="141">
                  <c:v>-6.1054135049077952E-2</c:v>
                </c:pt>
                <c:pt idx="142">
                  <c:v>-6.2424172493521071E-2</c:v>
                </c:pt>
                <c:pt idx="143">
                  <c:v>-6.3333589751048969E-2</c:v>
                </c:pt>
                <c:pt idx="144">
                  <c:v>-6.2817267413333364E-2</c:v>
                </c:pt>
                <c:pt idx="145">
                  <c:v>-6.2434168584827587E-2</c:v>
                </c:pt>
                <c:pt idx="146">
                  <c:v>-6.0762802498630079E-2</c:v>
                </c:pt>
                <c:pt idx="147">
                  <c:v>-6.2504983893333352E-2</c:v>
                </c:pt>
                <c:pt idx="148">
                  <c:v>-6.2474897574054049E-2</c:v>
                </c:pt>
                <c:pt idx="149">
                  <c:v>-6.2116103834630856E-2</c:v>
                </c:pt>
                <c:pt idx="150">
                  <c:v>-6.0602055031466609E-2</c:v>
                </c:pt>
                <c:pt idx="151">
                  <c:v>-5.9277396700397403E-2</c:v>
                </c:pt>
                <c:pt idx="152">
                  <c:v>-6.1779626880000028E-2</c:v>
                </c:pt>
                <c:pt idx="153">
                  <c:v>-5.9913997653333315E-2</c:v>
                </c:pt>
                <c:pt idx="154">
                  <c:v>-5.9797562680519487E-2</c:v>
                </c:pt>
                <c:pt idx="155">
                  <c:v>-5.8674476527483831E-2</c:v>
                </c:pt>
                <c:pt idx="156">
                  <c:v>-5.9546564397948726E-2</c:v>
                </c:pt>
                <c:pt idx="157">
                  <c:v>-5.8352653892484084E-2</c:v>
                </c:pt>
                <c:pt idx="158">
                  <c:v>-5.8026731260759475E-2</c:v>
                </c:pt>
                <c:pt idx="159">
                  <c:v>-5.884291825509437E-2</c:v>
                </c:pt>
                <c:pt idx="160">
                  <c:v>-5.907502185599995E-2</c:v>
                </c:pt>
                <c:pt idx="161">
                  <c:v>-5.8768662419875752E-2</c:v>
                </c:pt>
                <c:pt idx="162">
                  <c:v>-5.7659573412345677E-2</c:v>
                </c:pt>
                <c:pt idx="163">
                  <c:v>-5.8846205235828238E-2</c:v>
                </c:pt>
                <c:pt idx="164">
                  <c:v>-5.8020084636097591E-2</c:v>
                </c:pt>
                <c:pt idx="165">
                  <c:v>-5.7642488459636314E-2</c:v>
                </c:pt>
                <c:pt idx="166">
                  <c:v>-5.7402601515180715E-2</c:v>
                </c:pt>
                <c:pt idx="167">
                  <c:v>-5.6481940786586797E-2</c:v>
                </c:pt>
                <c:pt idx="168">
                  <c:v>-5.6256875459047569E-2</c:v>
                </c:pt>
                <c:pt idx="169">
                  <c:v>-5.5399347927100606E-2</c:v>
                </c:pt>
                <c:pt idx="170">
                  <c:v>-5.6444276284235255E-2</c:v>
                </c:pt>
                <c:pt idx="171">
                  <c:v>-5.6106196285380126E-2</c:v>
                </c:pt>
                <c:pt idx="172">
                  <c:v>-5.6612035661395312E-2</c:v>
                </c:pt>
                <c:pt idx="173">
                  <c:v>-5.5163410526705162E-2</c:v>
                </c:pt>
                <c:pt idx="174">
                  <c:v>-5.5465665618390829E-2</c:v>
                </c:pt>
                <c:pt idx="175">
                  <c:v>-5.5446580106971413E-2</c:v>
                </c:pt>
                <c:pt idx="176">
                  <c:v>-5.5969533149090873E-2</c:v>
                </c:pt>
                <c:pt idx="177">
                  <c:v>-5.5173911256949169E-2</c:v>
                </c:pt>
                <c:pt idx="178">
                  <c:v>-5.5530088068314651E-2</c:v>
                </c:pt>
                <c:pt idx="179">
                  <c:v>-5.3344501445363145E-2</c:v>
                </c:pt>
                <c:pt idx="180">
                  <c:v>-5.4714208938666721E-2</c:v>
                </c:pt>
                <c:pt idx="181">
                  <c:v>-5.2940974447734816E-2</c:v>
                </c:pt>
                <c:pt idx="182">
                  <c:v>-5.380765715692315E-2</c:v>
                </c:pt>
                <c:pt idx="183">
                  <c:v>-5.2762274525027332E-2</c:v>
                </c:pt>
                <c:pt idx="184">
                  <c:v>-5.4002965481739044E-2</c:v>
                </c:pt>
                <c:pt idx="185">
                  <c:v>-5.3276214770162228E-2</c:v>
                </c:pt>
                <c:pt idx="186">
                  <c:v>-5.2732215466666767E-2</c:v>
                </c:pt>
                <c:pt idx="187">
                  <c:v>-5.3085646661818225E-2</c:v>
                </c:pt>
                <c:pt idx="188">
                  <c:v>-5.3272638257021242E-2</c:v>
                </c:pt>
                <c:pt idx="189">
                  <c:v>-5.304167651555565E-2</c:v>
                </c:pt>
                <c:pt idx="190">
                  <c:v>-5.2834395351578925E-2</c:v>
                </c:pt>
                <c:pt idx="191">
                  <c:v>-5.3162139824921392E-2</c:v>
                </c:pt>
                <c:pt idx="192">
                  <c:v>-5.2752904133333361E-2</c:v>
                </c:pt>
                <c:pt idx="193">
                  <c:v>-5.2515758371813499E-2</c:v>
                </c:pt>
                <c:pt idx="194">
                  <c:v>-5.1873563816907248E-2</c:v>
                </c:pt>
                <c:pt idx="195">
                  <c:v>-5.1642891657846093E-2</c:v>
                </c:pt>
                <c:pt idx="196">
                  <c:v>-5.2102833893877473E-2</c:v>
                </c:pt>
                <c:pt idx="197">
                  <c:v>-5.217330786761426E-2</c:v>
                </c:pt>
                <c:pt idx="198">
                  <c:v>-5.1804614516363638E-2</c:v>
                </c:pt>
                <c:pt idx="199">
                  <c:v>-5.1429975374472428E-2</c:v>
                </c:pt>
                <c:pt idx="200">
                  <c:v>-5.2049505459200035E-2</c:v>
                </c:pt>
                <c:pt idx="201">
                  <c:v>-5.1825764820696556E-2</c:v>
                </c:pt>
                <c:pt idx="202">
                  <c:v>-5.1611875028910834E-2</c:v>
                </c:pt>
                <c:pt idx="203">
                  <c:v>-5.1495997717438513E-2</c:v>
                </c:pt>
                <c:pt idx="204">
                  <c:v>-5.1018296746666747E-2</c:v>
                </c:pt>
                <c:pt idx="205">
                  <c:v>-5.1256478420292642E-2</c:v>
                </c:pt>
                <c:pt idx="206">
                  <c:v>-5.0942919431456263E-2</c:v>
                </c:pt>
                <c:pt idx="207">
                  <c:v>-5.0959614515942005E-2</c:v>
                </c:pt>
                <c:pt idx="208">
                  <c:v>-5.082762382769223E-2</c:v>
                </c:pt>
                <c:pt idx="209">
                  <c:v>-5.100436357511965E-2</c:v>
                </c:pt>
                <c:pt idx="210">
                  <c:v>-5.0643099696761971E-2</c:v>
                </c:pt>
                <c:pt idx="211">
                  <c:v>-5.0495205453649272E-2</c:v>
                </c:pt>
                <c:pt idx="212">
                  <c:v>-5.012225741283019E-2</c:v>
                </c:pt>
                <c:pt idx="213">
                  <c:v>-5.0272369457276915E-2</c:v>
                </c:pt>
                <c:pt idx="214">
                  <c:v>-5.0168483241869087E-2</c:v>
                </c:pt>
                <c:pt idx="215">
                  <c:v>-5.0177230276465069E-2</c:v>
                </c:pt>
                <c:pt idx="216">
                  <c:v>-5.0123531354074019E-2</c:v>
                </c:pt>
                <c:pt idx="217">
                  <c:v>-4.9705417449585232E-2</c:v>
                </c:pt>
                <c:pt idx="218">
                  <c:v>-4.9574190361834893E-2</c:v>
                </c:pt>
                <c:pt idx="219">
                  <c:v>-4.9484186768949744E-2</c:v>
                </c:pt>
                <c:pt idx="220">
                  <c:v>-4.9582861940363591E-2</c:v>
                </c:pt>
                <c:pt idx="221">
                  <c:v>-4.9371112369230835E-2</c:v>
                </c:pt>
                <c:pt idx="222">
                  <c:v>-4.9375394410090104E-2</c:v>
                </c:pt>
                <c:pt idx="223">
                  <c:v>-4.9121571266009002E-2</c:v>
                </c:pt>
                <c:pt idx="224">
                  <c:v>-4.969405805714279E-2</c:v>
                </c:pt>
                <c:pt idx="225">
                  <c:v>-4.9503893868088886E-2</c:v>
                </c:pt>
                <c:pt idx="226">
                  <c:v>-4.9392860227964519E-2</c:v>
                </c:pt>
                <c:pt idx="227">
                  <c:v>-4.9326754080704888E-2</c:v>
                </c:pt>
                <c:pt idx="228">
                  <c:v>-4.9301606557192935E-2</c:v>
                </c:pt>
                <c:pt idx="229">
                  <c:v>-4.910820631475981E-2</c:v>
                </c:pt>
                <c:pt idx="230">
                  <c:v>-4.9038647140173967E-2</c:v>
                </c:pt>
                <c:pt idx="231">
                  <c:v>-4.8952129828571403E-2</c:v>
                </c:pt>
                <c:pt idx="232">
                  <c:v>-4.8944236976551696E-2</c:v>
                </c:pt>
                <c:pt idx="233">
                  <c:v>-4.8798928359828311E-2</c:v>
                </c:pt>
                <c:pt idx="234">
                  <c:v>-4.8748520544273539E-2</c:v>
                </c:pt>
                <c:pt idx="235">
                  <c:v>-4.8662577151999988E-2</c:v>
                </c:pt>
                <c:pt idx="236">
                  <c:v>-4.8593451324745823E-2</c:v>
                </c:pt>
                <c:pt idx="237">
                  <c:v>-4.8518701712742668E-2</c:v>
                </c:pt>
                <c:pt idx="238">
                  <c:v>-4.8482610812773066E-2</c:v>
                </c:pt>
                <c:pt idx="239">
                  <c:v>-4.8424569016234272E-2</c:v>
                </c:pt>
                <c:pt idx="240">
                  <c:v>-4.8677168874666714E-2</c:v>
                </c:pt>
                <c:pt idx="241">
                  <c:v>-4.857669799834026E-2</c:v>
                </c:pt>
                <c:pt idx="242">
                  <c:v>-4.8509875961652967E-2</c:v>
                </c:pt>
                <c:pt idx="243">
                  <c:v>-4.8467856750617211E-2</c:v>
                </c:pt>
                <c:pt idx="244">
                  <c:v>-4.8418037760000004E-2</c:v>
                </c:pt>
                <c:pt idx="245">
                  <c:v>-4.8379013370775444E-2</c:v>
                </c:pt>
                <c:pt idx="246">
                  <c:v>-4.8316623235121973E-2</c:v>
                </c:pt>
                <c:pt idx="247">
                  <c:v>-4.8270422957084981E-2</c:v>
                </c:pt>
                <c:pt idx="248">
                  <c:v>-4.8292064887741883E-2</c:v>
                </c:pt>
                <c:pt idx="249">
                  <c:v>-4.8215443719196838E-2</c:v>
                </c:pt>
                <c:pt idx="250">
                  <c:v>-4.8171117015040073E-2</c:v>
                </c:pt>
                <c:pt idx="251">
                  <c:v>-4.8128816915378417E-2</c:v>
                </c:pt>
                <c:pt idx="252">
                  <c:v>-4.7289709998730216E-2</c:v>
                </c:pt>
                <c:pt idx="253">
                  <c:v>-4.6457236338339952E-2</c:v>
                </c:pt>
                <c:pt idx="254">
                  <c:v>-4.5631317588661423E-2</c:v>
                </c:pt>
                <c:pt idx="255">
                  <c:v>-4.4811876633098019E-2</c:v>
                </c:pt>
                <c:pt idx="256">
                  <c:v>-4.3998837539999947E-2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922-47B6-A32F-677697C5CC9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sdia_profile!$A$2:$A$258</c:f>
              <c:numCache>
                <c:formatCode>General</c:formatCode>
                <c:ptCount val="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</c:numCache>
            </c:numRef>
          </c:xVal>
          <c:yVal>
            <c:numRef>
              <c:f>sdia_profile!$J$2:$J$258</c:f>
              <c:numCache>
                <c:formatCode>0.00%</c:formatCode>
                <c:ptCount val="257"/>
                <c:pt idx="0">
                  <c:v>0</c:v>
                </c:pt>
                <c:pt idx="1">
                  <c:v>1.17574181888</c:v>
                </c:pt>
                <c:pt idx="2">
                  <c:v>0.32645875456000006</c:v>
                </c:pt>
                <c:pt idx="3">
                  <c:v>0.12148058111999999</c:v>
                </c:pt>
                <c:pt idx="4">
                  <c:v>-4.100289663999996E-2</c:v>
                </c:pt>
                <c:pt idx="5">
                  <c:v>-9.2171242496000019E-2</c:v>
                </c:pt>
                <c:pt idx="6">
                  <c:v>-0.16580659029333339</c:v>
                </c:pt>
                <c:pt idx="7">
                  <c:v>-0.21871538176000002</c:v>
                </c:pt>
                <c:pt idx="8">
                  <c:v>-0.22991535743999994</c:v>
                </c:pt>
                <c:pt idx="9">
                  <c:v>-0.23916313941333339</c:v>
                </c:pt>
                <c:pt idx="10">
                  <c:v>-0.26972236953599993</c:v>
                </c:pt>
                <c:pt idx="11">
                  <c:v>-0.23348269986909095</c:v>
                </c:pt>
                <c:pt idx="12">
                  <c:v>-0.29735914154666671</c:v>
                </c:pt>
                <c:pt idx="13">
                  <c:v>-0.29978427116307688</c:v>
                </c:pt>
                <c:pt idx="14">
                  <c:v>-0.25491212836571431</c:v>
                </c:pt>
                <c:pt idx="15">
                  <c:v>-0.2899422880426667</c:v>
                </c:pt>
                <c:pt idx="16">
                  <c:v>-0.29332660224000007</c:v>
                </c:pt>
                <c:pt idx="17">
                  <c:v>-0.30931966463999999</c:v>
                </c:pt>
                <c:pt idx="18">
                  <c:v>-0.29970809827555556</c:v>
                </c:pt>
                <c:pt idx="19">
                  <c:v>-0.30274128895999997</c:v>
                </c:pt>
                <c:pt idx="20">
                  <c:v>-0.30568749619199997</c:v>
                </c:pt>
                <c:pt idx="21">
                  <c:v>-0.30855707257904769</c:v>
                </c:pt>
                <c:pt idx="22">
                  <c:v>-0.30185841757090909</c:v>
                </c:pt>
                <c:pt idx="23">
                  <c:v>-0.31409886697739131</c:v>
                </c:pt>
                <c:pt idx="24">
                  <c:v>-0.32539624085333335</c:v>
                </c:pt>
                <c:pt idx="25">
                  <c:v>-0.32763200245759999</c:v>
                </c:pt>
                <c:pt idx="26">
                  <c:v>-0.31418002077538459</c:v>
                </c:pt>
                <c:pt idx="27">
                  <c:v>-0.32455444935111111</c:v>
                </c:pt>
                <c:pt idx="28">
                  <c:v>-0.32706176018285715</c:v>
                </c:pt>
                <c:pt idx="29">
                  <c:v>-0.32953253111172409</c:v>
                </c:pt>
                <c:pt idx="30">
                  <c:v>-0.32536047786666672</c:v>
                </c:pt>
                <c:pt idx="31">
                  <c:v>-0.32801959027612904</c:v>
                </c:pt>
                <c:pt idx="32">
                  <c:v>-0.31236376608000005</c:v>
                </c:pt>
                <c:pt idx="33">
                  <c:v>-0.32732163770181816</c:v>
                </c:pt>
                <c:pt idx="34">
                  <c:v>-0.32440156265411757</c:v>
                </c:pt>
                <c:pt idx="35">
                  <c:v>-0.31097147216457144</c:v>
                </c:pt>
                <c:pt idx="36">
                  <c:v>-0.3195931465955556</c:v>
                </c:pt>
                <c:pt idx="37">
                  <c:v>-0.32271294782270277</c:v>
                </c:pt>
                <c:pt idx="38">
                  <c:v>-0.3208585195789474</c:v>
                </c:pt>
                <c:pt idx="39">
                  <c:v>-0.31453146584615388</c:v>
                </c:pt>
                <c:pt idx="40">
                  <c:v>-0.31789556415999998</c:v>
                </c:pt>
                <c:pt idx="41">
                  <c:v>-0.32117934754341465</c:v>
                </c:pt>
                <c:pt idx="42">
                  <c:v>-0.32438779001904761</c:v>
                </c:pt>
                <c:pt idx="43">
                  <c:v>-0.31918575401674415</c:v>
                </c:pt>
                <c:pt idx="44">
                  <c:v>-0.32249643368727271</c:v>
                </c:pt>
                <c:pt idx="45">
                  <c:v>-0.317894002688</c:v>
                </c:pt>
                <c:pt idx="46">
                  <c:v>-0.32889981762782611</c:v>
                </c:pt>
                <c:pt idx="47">
                  <c:v>-0.32458635982978723</c:v>
                </c:pt>
                <c:pt idx="48">
                  <c:v>-0.31705434208</c:v>
                </c:pt>
                <c:pt idx="49">
                  <c:v>-0.32050676328489797</c:v>
                </c:pt>
                <c:pt idx="50">
                  <c:v>-0.32049208176640004</c:v>
                </c:pt>
                <c:pt idx="51">
                  <c:v>-0.31400850954039217</c:v>
                </c:pt>
                <c:pt idx="52">
                  <c:v>-0.31757435943384621</c:v>
                </c:pt>
                <c:pt idx="53">
                  <c:v>-0.3179446870943396</c:v>
                </c:pt>
                <c:pt idx="54">
                  <c:v>-0.32143340866370368</c:v>
                </c:pt>
                <c:pt idx="55">
                  <c:v>-0.31597807159854546</c:v>
                </c:pt>
                <c:pt idx="56">
                  <c:v>-0.32241332159999997</c:v>
                </c:pt>
                <c:pt idx="57">
                  <c:v>-0.31460164149894737</c:v>
                </c:pt>
                <c:pt idx="58">
                  <c:v>-0.32367470565517242</c:v>
                </c:pt>
                <c:pt idx="59">
                  <c:v>-0.31906146659796608</c:v>
                </c:pt>
                <c:pt idx="60">
                  <c:v>-0.32257474269866665</c:v>
                </c:pt>
                <c:pt idx="61">
                  <c:v>-0.32093317355016393</c:v>
                </c:pt>
                <c:pt idx="62">
                  <c:v>-0.31946420438709683</c:v>
                </c:pt>
                <c:pt idx="63">
                  <c:v>-0.31575003810539681</c:v>
                </c:pt>
                <c:pt idx="64">
                  <c:v>-0.31935751527999995</c:v>
                </c:pt>
                <c:pt idx="65">
                  <c:v>-0.32059035663753849</c:v>
                </c:pt>
                <c:pt idx="66">
                  <c:v>-0.31512585262545456</c:v>
                </c:pt>
                <c:pt idx="67">
                  <c:v>-0.31656835308895515</c:v>
                </c:pt>
                <c:pt idx="68">
                  <c:v>-0.31589617174588241</c:v>
                </c:pt>
                <c:pt idx="69">
                  <c:v>-0.31325879845101456</c:v>
                </c:pt>
                <c:pt idx="70">
                  <c:v>-0.31286310312228571</c:v>
                </c:pt>
                <c:pt idx="71">
                  <c:v>-0.31257060070760562</c:v>
                </c:pt>
                <c:pt idx="72">
                  <c:v>-0.31431714417777773</c:v>
                </c:pt>
                <c:pt idx="73">
                  <c:v>-0.31417081526356161</c:v>
                </c:pt>
                <c:pt idx="74">
                  <c:v>-0.31597175801081079</c:v>
                </c:pt>
                <c:pt idx="75">
                  <c:v>-0.31777776496639998</c:v>
                </c:pt>
                <c:pt idx="76">
                  <c:v>-0.31602418182736841</c:v>
                </c:pt>
                <c:pt idx="77">
                  <c:v>-0.31442939717818186</c:v>
                </c:pt>
                <c:pt idx="78">
                  <c:v>-0.3146834949251282</c:v>
                </c:pt>
                <c:pt idx="79">
                  <c:v>-0.3100292333205063</c:v>
                </c:pt>
                <c:pt idx="80">
                  <c:v>-0.31376561849599993</c:v>
                </c:pt>
                <c:pt idx="81">
                  <c:v>-0.31583989753679015</c:v>
                </c:pt>
                <c:pt idx="82">
                  <c:v>-0.31478628039804879</c:v>
                </c:pt>
                <c:pt idx="83">
                  <c:v>-0.31233263659180727</c:v>
                </c:pt>
                <c:pt idx="84">
                  <c:v>-0.31452982332952378</c:v>
                </c:pt>
                <c:pt idx="85">
                  <c:v>-0.31087814860799995</c:v>
                </c:pt>
                <c:pt idx="86">
                  <c:v>-0.31316061773395348</c:v>
                </c:pt>
                <c:pt idx="87">
                  <c:v>-0.31542917796781605</c:v>
                </c:pt>
                <c:pt idx="88">
                  <c:v>-0.31356509172363639</c:v>
                </c:pt>
                <c:pt idx="89">
                  <c:v>-0.31319444859685397</c:v>
                </c:pt>
                <c:pt idx="90">
                  <c:v>-0.31291236602311118</c:v>
                </c:pt>
                <c:pt idx="91">
                  <c:v>-0.31143091723252742</c:v>
                </c:pt>
                <c:pt idx="92">
                  <c:v>-0.3113403761530435</c:v>
                </c:pt>
                <c:pt idx="93">
                  <c:v>-0.30886904496172041</c:v>
                </c:pt>
                <c:pt idx="94">
                  <c:v>-0.30777662741787237</c:v>
                </c:pt>
                <c:pt idx="95">
                  <c:v>-0.30915299398063162</c:v>
                </c:pt>
                <c:pt idx="96">
                  <c:v>-0.30939356309333332</c:v>
                </c:pt>
                <c:pt idx="97">
                  <c:v>-0.3085660175307216</c:v>
                </c:pt>
                <c:pt idx="98">
                  <c:v>-0.30673966487510207</c:v>
                </c:pt>
                <c:pt idx="99">
                  <c:v>-0.30506219152808078</c:v>
                </c:pt>
                <c:pt idx="100">
                  <c:v>-0.30352702638079998</c:v>
                </c:pt>
                <c:pt idx="101">
                  <c:v>-0.30419183737663369</c:v>
                </c:pt>
                <c:pt idx="102">
                  <c:v>-0.30490162763294115</c:v>
                </c:pt>
                <c:pt idx="103">
                  <c:v>-0.30267733702834948</c:v>
                </c:pt>
                <c:pt idx="104">
                  <c:v>-0.30352682564923072</c:v>
                </c:pt>
                <c:pt idx="105">
                  <c:v>-0.30441378538057146</c:v>
                </c:pt>
                <c:pt idx="106">
                  <c:v>-0.30346811126339618</c:v>
                </c:pt>
                <c:pt idx="107">
                  <c:v>-0.30171864494654205</c:v>
                </c:pt>
                <c:pt idx="108">
                  <c:v>-0.30189701252740742</c:v>
                </c:pt>
                <c:pt idx="109">
                  <c:v>-0.29864464900697246</c:v>
                </c:pt>
                <c:pt idx="110">
                  <c:v>-0.29901297175272723</c:v>
                </c:pt>
                <c:pt idx="111">
                  <c:v>-0.2977644958673874</c:v>
                </c:pt>
                <c:pt idx="112">
                  <c:v>-0.29909238281142858</c:v>
                </c:pt>
                <c:pt idx="113">
                  <c:v>-0.29802844685592922</c:v>
                </c:pt>
                <c:pt idx="114">
                  <c:v>-0.29943675508771933</c:v>
                </c:pt>
                <c:pt idx="115">
                  <c:v>-0.29700351915408696</c:v>
                </c:pt>
                <c:pt idx="116">
                  <c:v>-0.29624844261517241</c:v>
                </c:pt>
                <c:pt idx="117">
                  <c:v>-0.29485743174017098</c:v>
                </c:pt>
                <c:pt idx="118">
                  <c:v>-0.29575510514983044</c:v>
                </c:pt>
                <c:pt idx="119">
                  <c:v>-0.29456599702588226</c:v>
                </c:pt>
                <c:pt idx="120">
                  <c:v>-0.29418606101333333</c:v>
                </c:pt>
                <c:pt idx="121">
                  <c:v>-0.29456749504528923</c:v>
                </c:pt>
                <c:pt idx="122">
                  <c:v>-0.29433849734295081</c:v>
                </c:pt>
                <c:pt idx="123">
                  <c:v>-0.29418717750113821</c:v>
                </c:pt>
                <c:pt idx="124">
                  <c:v>-0.29283796248774197</c:v>
                </c:pt>
                <c:pt idx="125">
                  <c:v>-0.29223590572032004</c:v>
                </c:pt>
                <c:pt idx="126">
                  <c:v>-0.29051192405333326</c:v>
                </c:pt>
                <c:pt idx="127">
                  <c:v>-0.29071275330519686</c:v>
                </c:pt>
                <c:pt idx="128">
                  <c:v>-0.29039175591999999</c:v>
                </c:pt>
                <c:pt idx="129">
                  <c:v>-0.29015261680124027</c:v>
                </c:pt>
                <c:pt idx="130">
                  <c:v>-0.28831999708553846</c:v>
                </c:pt>
                <c:pt idx="131">
                  <c:v>-0.28935990037496179</c:v>
                </c:pt>
                <c:pt idx="132">
                  <c:v>-0.28775551906909086</c:v>
                </c:pt>
                <c:pt idx="133">
                  <c:v>-0.28837713531187964</c:v>
                </c:pt>
                <c:pt idx="134">
                  <c:v>-0.28699649383164177</c:v>
                </c:pt>
                <c:pt idx="135">
                  <c:v>-0.28624413855288894</c:v>
                </c:pt>
                <c:pt idx="136">
                  <c:v>-0.28559307320470595</c:v>
                </c:pt>
                <c:pt idx="137">
                  <c:v>-0.28503907107503651</c:v>
                </c:pt>
                <c:pt idx="138">
                  <c:v>-0.28457808703072462</c:v>
                </c:pt>
                <c:pt idx="139">
                  <c:v>-0.28466303856345321</c:v>
                </c:pt>
                <c:pt idx="140">
                  <c:v>-0.28391984991085717</c:v>
                </c:pt>
                <c:pt idx="141">
                  <c:v>-0.28240652796368793</c:v>
                </c:pt>
                <c:pt idx="142">
                  <c:v>-0.28230836844169011</c:v>
                </c:pt>
                <c:pt idx="143">
                  <c:v>-0.28228465320279716</c:v>
                </c:pt>
                <c:pt idx="144">
                  <c:v>-0.28192407103999995</c:v>
                </c:pt>
                <c:pt idx="145">
                  <c:v>-0.28085225821572413</c:v>
                </c:pt>
                <c:pt idx="146">
                  <c:v>-0.28067718403506847</c:v>
                </c:pt>
                <c:pt idx="147">
                  <c:v>-0.27981937071891161</c:v>
                </c:pt>
                <c:pt idx="148">
                  <c:v>-0.27907100761945952</c:v>
                </c:pt>
                <c:pt idx="149">
                  <c:v>-0.27842741450738251</c:v>
                </c:pt>
                <c:pt idx="150">
                  <c:v>-0.27753040448853339</c:v>
                </c:pt>
                <c:pt idx="151">
                  <c:v>-0.27743684540185437</c:v>
                </c:pt>
                <c:pt idx="152">
                  <c:v>-0.27674391087157896</c:v>
                </c:pt>
                <c:pt idx="153">
                  <c:v>-0.27615474674614376</c:v>
                </c:pt>
                <c:pt idx="154">
                  <c:v>-0.27502243800103893</c:v>
                </c:pt>
                <c:pt idx="155">
                  <c:v>-0.27432949287638703</c:v>
                </c:pt>
                <c:pt idx="156">
                  <c:v>-0.27343667419897438</c:v>
                </c:pt>
                <c:pt idx="157">
                  <c:v>-0.2732551281161783</c:v>
                </c:pt>
                <c:pt idx="158">
                  <c:v>-0.27228349112708866</c:v>
                </c:pt>
                <c:pt idx="159">
                  <c:v>-0.27199908265056605</c:v>
                </c:pt>
                <c:pt idx="160">
                  <c:v>-0.27152581283199995</c:v>
                </c:pt>
                <c:pt idx="161">
                  <c:v>-0.27141960061614906</c:v>
                </c:pt>
                <c:pt idx="162">
                  <c:v>-0.27086643538172839</c:v>
                </c:pt>
                <c:pt idx="163">
                  <c:v>-0.27015853260171779</c:v>
                </c:pt>
                <c:pt idx="164">
                  <c:v>-0.26931108895219508</c:v>
                </c:pt>
                <c:pt idx="165">
                  <c:v>-0.26858183980993938</c:v>
                </c:pt>
                <c:pt idx="166">
                  <c:v>-0.26796538469783132</c:v>
                </c:pt>
                <c:pt idx="167">
                  <c:v>-0.26768731752239522</c:v>
                </c:pt>
                <c:pt idx="168">
                  <c:v>-0.26682592902095237</c:v>
                </c:pt>
                <c:pt idx="169">
                  <c:v>-0.26608648295005916</c:v>
                </c:pt>
                <c:pt idx="170">
                  <c:v>-0.26567588532705877</c:v>
                </c:pt>
                <c:pt idx="171">
                  <c:v>-0.26495089235836261</c:v>
                </c:pt>
                <c:pt idx="172">
                  <c:v>-0.26474563295255815</c:v>
                </c:pt>
                <c:pt idx="173">
                  <c:v>-0.26443440092485548</c:v>
                </c:pt>
                <c:pt idx="174">
                  <c:v>-0.26383745235862072</c:v>
                </c:pt>
                <c:pt idx="175">
                  <c:v>-0.26298177799314282</c:v>
                </c:pt>
                <c:pt idx="176">
                  <c:v>-0.26171459630545452</c:v>
                </c:pt>
                <c:pt idx="177">
                  <c:v>-0.26129765699977403</c:v>
                </c:pt>
                <c:pt idx="178">
                  <c:v>-0.26081622988224717</c:v>
                </c:pt>
                <c:pt idx="179">
                  <c:v>-0.25995038431106143</c:v>
                </c:pt>
                <c:pt idx="180">
                  <c:v>-0.25937676242488894</c:v>
                </c:pt>
                <c:pt idx="181">
                  <c:v>-0.25891976754917129</c:v>
                </c:pt>
                <c:pt idx="182">
                  <c:v>-0.25857362828659342</c:v>
                </c:pt>
                <c:pt idx="183">
                  <c:v>-0.25760284297092895</c:v>
                </c:pt>
                <c:pt idx="184">
                  <c:v>-0.25649401505391306</c:v>
                </c:pt>
                <c:pt idx="185">
                  <c:v>-0.25581231214702704</c:v>
                </c:pt>
                <c:pt idx="186">
                  <c:v>-0.25512726706924727</c:v>
                </c:pt>
                <c:pt idx="187">
                  <c:v>-0.25444462159401066</c:v>
                </c:pt>
                <c:pt idx="188">
                  <c:v>-0.25389345192851065</c:v>
                </c:pt>
                <c:pt idx="189">
                  <c:v>-0.25334691574518514</c:v>
                </c:pt>
                <c:pt idx="190">
                  <c:v>-0.25257813986357902</c:v>
                </c:pt>
                <c:pt idx="191">
                  <c:v>-0.25217457339643984</c:v>
                </c:pt>
                <c:pt idx="192">
                  <c:v>-0.25210718530666665</c:v>
                </c:pt>
                <c:pt idx="193">
                  <c:v>-0.25150794298362689</c:v>
                </c:pt>
                <c:pt idx="194">
                  <c:v>-0.25083991720907217</c:v>
                </c:pt>
                <c:pt idx="195">
                  <c:v>-0.25021430526687177</c:v>
                </c:pt>
                <c:pt idx="196">
                  <c:v>-0.24963329327020403</c:v>
                </c:pt>
                <c:pt idx="197">
                  <c:v>-0.24900781326294419</c:v>
                </c:pt>
                <c:pt idx="198">
                  <c:v>-0.2483493498052525</c:v>
                </c:pt>
                <c:pt idx="199">
                  <c:v>-0.24758434496964829</c:v>
                </c:pt>
                <c:pt idx="200">
                  <c:v>-0.24689457945600002</c:v>
                </c:pt>
                <c:pt idx="201">
                  <c:v>-0.24651379487840791</c:v>
                </c:pt>
                <c:pt idx="202">
                  <c:v>-0.24581405972277229</c:v>
                </c:pt>
                <c:pt idx="203">
                  <c:v>-0.2451277945568473</c:v>
                </c:pt>
                <c:pt idx="204">
                  <c:v>-0.24439292905411766</c:v>
                </c:pt>
                <c:pt idx="205">
                  <c:v>-0.24382325515239023</c:v>
                </c:pt>
                <c:pt idx="206">
                  <c:v>-0.2431534918586408</c:v>
                </c:pt>
                <c:pt idx="207">
                  <c:v>-0.24258769128502414</c:v>
                </c:pt>
                <c:pt idx="208">
                  <c:v>-0.24212242355692307</c:v>
                </c:pt>
                <c:pt idx="209">
                  <c:v>-0.24158642024114835</c:v>
                </c:pt>
                <c:pt idx="210">
                  <c:v>-0.24094430766323813</c:v>
                </c:pt>
                <c:pt idx="211">
                  <c:v>-0.24027117441819901</c:v>
                </c:pt>
                <c:pt idx="212">
                  <c:v>-0.23967961930867926</c:v>
                </c:pt>
                <c:pt idx="213">
                  <c:v>-0.23898436571943665</c:v>
                </c:pt>
                <c:pt idx="214">
                  <c:v>-0.23843248302654207</c:v>
                </c:pt>
                <c:pt idx="215">
                  <c:v>-0.23767994303702328</c:v>
                </c:pt>
                <c:pt idx="216">
                  <c:v>-0.23708786744888888</c:v>
                </c:pt>
                <c:pt idx="217">
                  <c:v>-0.23645713405640556</c:v>
                </c:pt>
                <c:pt idx="218">
                  <c:v>-0.23591493977247704</c:v>
                </c:pt>
                <c:pt idx="219">
                  <c:v>-0.23518999528621004</c:v>
                </c:pt>
                <c:pt idx="220">
                  <c:v>-0.23461537147345463</c:v>
                </c:pt>
                <c:pt idx="221">
                  <c:v>-0.23400122599674211</c:v>
                </c:pt>
                <c:pt idx="222">
                  <c:v>-0.23334182826666666</c:v>
                </c:pt>
                <c:pt idx="223">
                  <c:v>-0.23263577115551573</c:v>
                </c:pt>
                <c:pt idx="224">
                  <c:v>-0.23249230320000006</c:v>
                </c:pt>
                <c:pt idx="225">
                  <c:v>-0.23183060345742224</c:v>
                </c:pt>
                <c:pt idx="226">
                  <c:v>-0.23120701406017705</c:v>
                </c:pt>
                <c:pt idx="227">
                  <c:v>-0.23063632945621149</c:v>
                </c:pt>
                <c:pt idx="228">
                  <c:v>-0.22993648233543854</c:v>
                </c:pt>
                <c:pt idx="229">
                  <c:v>-0.22932035192733621</c:v>
                </c:pt>
                <c:pt idx="230">
                  <c:v>-0.22867999574817394</c:v>
                </c:pt>
                <c:pt idx="231">
                  <c:v>-0.22803274322008657</c:v>
                </c:pt>
                <c:pt idx="232">
                  <c:v>-0.22748158274206895</c:v>
                </c:pt>
                <c:pt idx="233">
                  <c:v>-0.22682507424412016</c:v>
                </c:pt>
                <c:pt idx="234">
                  <c:v>-0.22620580999658116</c:v>
                </c:pt>
                <c:pt idx="235">
                  <c:v>-0.22550836570417024</c:v>
                </c:pt>
                <c:pt idx="236">
                  <c:v>-0.22488333394440679</c:v>
                </c:pt>
                <c:pt idx="237">
                  <c:v>-0.22425587398751062</c:v>
                </c:pt>
                <c:pt idx="238">
                  <c:v>-0.2235997933929412</c:v>
                </c:pt>
                <c:pt idx="239">
                  <c:v>-0.22290186535631792</c:v>
                </c:pt>
                <c:pt idx="240">
                  <c:v>-0.22205157066666661</c:v>
                </c:pt>
                <c:pt idx="241">
                  <c:v>-0.22142505514489633</c:v>
                </c:pt>
                <c:pt idx="242">
                  <c:v>-0.22076576126942149</c:v>
                </c:pt>
                <c:pt idx="243">
                  <c:v>-0.22010227174716046</c:v>
                </c:pt>
                <c:pt idx="244">
                  <c:v>-0.21946503994754105</c:v>
                </c:pt>
                <c:pt idx="245">
                  <c:v>-0.2188314555872653</c:v>
                </c:pt>
                <c:pt idx="246">
                  <c:v>-0.21816749944715449</c:v>
                </c:pt>
                <c:pt idx="247">
                  <c:v>-0.217496396882915</c:v>
                </c:pt>
                <c:pt idx="248">
                  <c:v>-0.21672449174709679</c:v>
                </c:pt>
                <c:pt idx="249">
                  <c:v>-0.2160675734104418</c:v>
                </c:pt>
                <c:pt idx="250">
                  <c:v>-0.21541576660991996</c:v>
                </c:pt>
                <c:pt idx="251">
                  <c:v>-0.21474696475537844</c:v>
                </c:pt>
                <c:pt idx="252">
                  <c:v>-0.21327786942984125</c:v>
                </c:pt>
                <c:pt idx="253">
                  <c:v>-0.21182038748584983</c:v>
                </c:pt>
                <c:pt idx="254">
                  <c:v>-0.21037438177763784</c:v>
                </c:pt>
                <c:pt idx="255">
                  <c:v>-0.20893971731074504</c:v>
                </c:pt>
                <c:pt idx="256">
                  <c:v>-0.20751626113999999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922-47B6-A32F-677697C5CC9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sdia_profile!$A$2:$A$258</c:f>
              <c:numCache>
                <c:formatCode>General</c:formatCode>
                <c:ptCount val="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</c:numCache>
            </c:numRef>
          </c:xVal>
          <c:yVal>
            <c:numRef>
              <c:f>sdia_profile!$K$2:$K$258</c:f>
              <c:numCache>
                <c:formatCode>0.00%</c:formatCode>
                <c:ptCount val="257"/>
                <c:pt idx="0">
                  <c:v>0</c:v>
                </c:pt>
                <c:pt idx="1">
                  <c:v>1.0482900171416427</c:v>
                </c:pt>
                <c:pt idx="2">
                  <c:v>0.50284402936877759</c:v>
                </c:pt>
                <c:pt idx="3">
                  <c:v>0.59055241616681686</c:v>
                </c:pt>
                <c:pt idx="4">
                  <c:v>-3.7057235778820957E-3</c:v>
                </c:pt>
                <c:pt idx="5">
                  <c:v>8.2222141129112983E-2</c:v>
                </c:pt>
                <c:pt idx="6">
                  <c:v>2.5775704428119311E-2</c:v>
                </c:pt>
                <c:pt idx="7">
                  <c:v>-7.3015845366514759E-2</c:v>
                </c:pt>
                <c:pt idx="8">
                  <c:v>-1.2390469951586418E-2</c:v>
                </c:pt>
                <c:pt idx="9">
                  <c:v>-0.16971652101703941</c:v>
                </c:pt>
                <c:pt idx="10">
                  <c:v>-0.1145167715899514</c:v>
                </c:pt>
                <c:pt idx="11">
                  <c:v>-8.7400971215370812E-2</c:v>
                </c:pt>
                <c:pt idx="12">
                  <c:v>-0.24706404072966515</c:v>
                </c:pt>
                <c:pt idx="13">
                  <c:v>-0.25177390855151288</c:v>
                </c:pt>
                <c:pt idx="14">
                  <c:v>-0.20525755637684093</c:v>
                </c:pt>
                <c:pt idx="15">
                  <c:v>-0.20772271377875665</c:v>
                </c:pt>
                <c:pt idx="16">
                  <c:v>-0.1589321676910968</c:v>
                </c:pt>
                <c:pt idx="17">
                  <c:v>-0.20162914392419543</c:v>
                </c:pt>
                <c:pt idx="18">
                  <c:v>-0.19432318893372094</c:v>
                </c:pt>
                <c:pt idx="19">
                  <c:v>-0.21541329219709635</c:v>
                </c:pt>
                <c:pt idx="20">
                  <c:v>-0.20650144986694746</c:v>
                </c:pt>
                <c:pt idx="21">
                  <c:v>-0.18453666687593476</c:v>
                </c:pt>
                <c:pt idx="22">
                  <c:v>-0.21741007107385252</c:v>
                </c:pt>
                <c:pt idx="23">
                  <c:v>-0.23139005334635299</c:v>
                </c:pt>
                <c:pt idx="24">
                  <c:v>-0.23341808780168469</c:v>
                </c:pt>
                <c:pt idx="25">
                  <c:v>-0.2362056919577061</c:v>
                </c:pt>
                <c:pt idx="26">
                  <c:v>-0.24954903605776566</c:v>
                </c:pt>
                <c:pt idx="27">
                  <c:v>-0.25947459925441468</c:v>
                </c:pt>
                <c:pt idx="28">
                  <c:v>-0.22584433784815908</c:v>
                </c:pt>
                <c:pt idx="29">
                  <c:v>-0.25377982799814924</c:v>
                </c:pt>
                <c:pt idx="30">
                  <c:v>-0.27056665099727739</c:v>
                </c:pt>
                <c:pt idx="31">
                  <c:v>-0.25670244255817826</c:v>
                </c:pt>
                <c:pt idx="32">
                  <c:v>-0.23012911231388816</c:v>
                </c:pt>
                <c:pt idx="33">
                  <c:v>-0.26577094064697782</c:v>
                </c:pt>
                <c:pt idx="34">
                  <c:v>-0.26661019151272325</c:v>
                </c:pt>
                <c:pt idx="35">
                  <c:v>-0.23661483563986566</c:v>
                </c:pt>
                <c:pt idx="36">
                  <c:v>-0.26214468117350381</c:v>
                </c:pt>
                <c:pt idx="37">
                  <c:v>-0.25111194465143377</c:v>
                </c:pt>
                <c:pt idx="38">
                  <c:v>-0.24076195117799185</c:v>
                </c:pt>
                <c:pt idx="39">
                  <c:v>-0.24825309368539911</c:v>
                </c:pt>
                <c:pt idx="40">
                  <c:v>-0.22710845032468199</c:v>
                </c:pt>
                <c:pt idx="41">
                  <c:v>-0.24478096778127276</c:v>
                </c:pt>
                <c:pt idx="42">
                  <c:v>-0.25576713476050139</c:v>
                </c:pt>
                <c:pt idx="43">
                  <c:v>-0.25197286457317308</c:v>
                </c:pt>
                <c:pt idx="44">
                  <c:v>-0.25262502736197329</c:v>
                </c:pt>
                <c:pt idx="45">
                  <c:v>-0.24911729676007305</c:v>
                </c:pt>
                <c:pt idx="46">
                  <c:v>-0.262535383905107</c:v>
                </c:pt>
                <c:pt idx="47">
                  <c:v>-0.25039147199212175</c:v>
                </c:pt>
                <c:pt idx="48">
                  <c:v>-0.23467424324432865</c:v>
                </c:pt>
                <c:pt idx="49">
                  <c:v>-0.25201882822956018</c:v>
                </c:pt>
                <c:pt idx="50">
                  <c:v>-0.24479468070254162</c:v>
                </c:pt>
                <c:pt idx="51">
                  <c:v>-0.2459943011435568</c:v>
                </c:pt>
                <c:pt idx="52">
                  <c:v>-0.25387468873657248</c:v>
                </c:pt>
                <c:pt idx="53">
                  <c:v>-0.26130004685938396</c:v>
                </c:pt>
                <c:pt idx="54">
                  <c:v>-0.25809786974925597</c:v>
                </c:pt>
                <c:pt idx="55">
                  <c:v>-0.25194676485144196</c:v>
                </c:pt>
                <c:pt idx="56">
                  <c:v>-0.26188968027195886</c:v>
                </c:pt>
                <c:pt idx="57">
                  <c:v>-0.24004774679723703</c:v>
                </c:pt>
                <c:pt idx="58">
                  <c:v>-0.25298273782610653</c:v>
                </c:pt>
                <c:pt idx="59">
                  <c:v>-0.25649141756617139</c:v>
                </c:pt>
                <c:pt idx="60">
                  <c:v>-0.2681021520712244</c:v>
                </c:pt>
                <c:pt idx="61">
                  <c:v>-0.26529768296039163</c:v>
                </c:pt>
                <c:pt idx="62">
                  <c:v>-0.2599053644861179</c:v>
                </c:pt>
                <c:pt idx="63">
                  <c:v>-0.25475593632432814</c:v>
                </c:pt>
                <c:pt idx="64">
                  <c:v>-0.25490543844452168</c:v>
                </c:pt>
                <c:pt idx="65">
                  <c:v>-0.25764125111567443</c:v>
                </c:pt>
                <c:pt idx="66">
                  <c:v>-0.25288217090236503</c:v>
                </c:pt>
                <c:pt idx="67">
                  <c:v>-0.26730122817903507</c:v>
                </c:pt>
                <c:pt idx="68">
                  <c:v>-0.25563403237393884</c:v>
                </c:pt>
                <c:pt idx="69">
                  <c:v>-0.25348941925151364</c:v>
                </c:pt>
                <c:pt idx="70">
                  <c:v>-0.25364116269875808</c:v>
                </c:pt>
                <c:pt idx="71">
                  <c:v>-0.25377047674536563</c:v>
                </c:pt>
                <c:pt idx="72">
                  <c:v>-0.25171543859292533</c:v>
                </c:pt>
                <c:pt idx="73">
                  <c:v>-0.25395153770738371</c:v>
                </c:pt>
                <c:pt idx="74">
                  <c:v>-0.25604695284143414</c:v>
                </c:pt>
                <c:pt idx="75">
                  <c:v>-0.25406206675979298</c:v>
                </c:pt>
                <c:pt idx="76">
                  <c:v>-0.25216279198463853</c:v>
                </c:pt>
                <c:pt idx="77">
                  <c:v>-0.25224967426164441</c:v>
                </c:pt>
                <c:pt idx="78">
                  <c:v>-0.25230464067182384</c:v>
                </c:pt>
                <c:pt idx="79">
                  <c:v>-0.25236221372879591</c:v>
                </c:pt>
                <c:pt idx="80">
                  <c:v>-0.25414273534157733</c:v>
                </c:pt>
                <c:pt idx="81">
                  <c:v>-0.25238443295039031</c:v>
                </c:pt>
                <c:pt idx="82">
                  <c:v>-0.25238434266877197</c:v>
                </c:pt>
                <c:pt idx="83">
                  <c:v>-0.25070962081697834</c:v>
                </c:pt>
                <c:pt idx="84">
                  <c:v>-0.25071604224054689</c:v>
                </c:pt>
                <c:pt idx="85">
                  <c:v>-0.25070799296996171</c:v>
                </c:pt>
                <c:pt idx="86">
                  <c:v>-0.25834404182670095</c:v>
                </c:pt>
                <c:pt idx="87">
                  <c:v>-0.25671567190238259</c:v>
                </c:pt>
                <c:pt idx="88">
                  <c:v>-0.25210787513917909</c:v>
                </c:pt>
                <c:pt idx="89">
                  <c:v>-0.25631373294037207</c:v>
                </c:pt>
                <c:pt idx="90">
                  <c:v>-0.25611797802489994</c:v>
                </c:pt>
                <c:pt idx="91">
                  <c:v>-0.25857154010374472</c:v>
                </c:pt>
                <c:pt idx="92">
                  <c:v>-0.25301471153637756</c:v>
                </c:pt>
                <c:pt idx="93">
                  <c:v>-0.24755337910967959</c:v>
                </c:pt>
                <c:pt idx="94">
                  <c:v>-0.25006675731056288</c:v>
                </c:pt>
                <c:pt idx="95">
                  <c:v>-0.25247274129199038</c:v>
                </c:pt>
                <c:pt idx="96">
                  <c:v>-0.24984637419841618</c:v>
                </c:pt>
                <c:pt idx="97">
                  <c:v>-0.24727667015724286</c:v>
                </c:pt>
                <c:pt idx="98">
                  <c:v>-0.24833668678984569</c:v>
                </c:pt>
                <c:pt idx="99">
                  <c:v>-0.24817346937825144</c:v>
                </c:pt>
                <c:pt idx="100">
                  <c:v>-0.24688160548485824</c:v>
                </c:pt>
                <c:pt idx="101">
                  <c:v>-0.25112254469559386</c:v>
                </c:pt>
                <c:pt idx="102">
                  <c:v>-0.24879256238607123</c:v>
                </c:pt>
                <c:pt idx="103">
                  <c:v>-0.2475008080235872</c:v>
                </c:pt>
                <c:pt idx="104">
                  <c:v>-0.24321523456949612</c:v>
                </c:pt>
                <c:pt idx="105">
                  <c:v>-0.24819460001563526</c:v>
                </c:pt>
                <c:pt idx="106">
                  <c:v>-0.24697708098740795</c:v>
                </c:pt>
                <c:pt idx="107">
                  <c:v>-0.24577148099296217</c:v>
                </c:pt>
                <c:pt idx="108">
                  <c:v>-0.24932036901842455</c:v>
                </c:pt>
                <c:pt idx="109">
                  <c:v>-0.24621229636260103</c:v>
                </c:pt>
                <c:pt idx="110">
                  <c:v>-0.24865476755690552</c:v>
                </c:pt>
                <c:pt idx="111">
                  <c:v>-0.24746060011308435</c:v>
                </c:pt>
                <c:pt idx="112">
                  <c:v>-0.24555194613604264</c:v>
                </c:pt>
                <c:pt idx="113">
                  <c:v>-0.24527430634845754</c:v>
                </c:pt>
                <c:pt idx="114">
                  <c:v>-0.2491380696313206</c:v>
                </c:pt>
                <c:pt idx="115">
                  <c:v>-0.24474032729082468</c:v>
                </c:pt>
                <c:pt idx="116">
                  <c:v>-0.24445336225870037</c:v>
                </c:pt>
                <c:pt idx="117">
                  <c:v>-0.24488616478223499</c:v>
                </c:pt>
                <c:pt idx="118">
                  <c:v>-0.24464604403289819</c:v>
                </c:pt>
                <c:pt idx="119">
                  <c:v>-0.24502198469452277</c:v>
                </c:pt>
                <c:pt idx="120">
                  <c:v>-0.24043246541169974</c:v>
                </c:pt>
                <c:pt idx="121">
                  <c:v>-0.24302093976913955</c:v>
                </c:pt>
                <c:pt idx="122">
                  <c:v>-0.2427238905442928</c:v>
                </c:pt>
                <c:pt idx="123">
                  <c:v>-0.24308970134358482</c:v>
                </c:pt>
                <c:pt idx="124">
                  <c:v>-0.24399495571088509</c:v>
                </c:pt>
                <c:pt idx="125">
                  <c:v>-0.24172905845421522</c:v>
                </c:pt>
                <c:pt idx="126">
                  <c:v>-0.24071362779408867</c:v>
                </c:pt>
                <c:pt idx="127">
                  <c:v>-0.24103115660143876</c:v>
                </c:pt>
                <c:pt idx="128">
                  <c:v>-0.23772688997905483</c:v>
                </c:pt>
                <c:pt idx="129">
                  <c:v>-0.23687369402976804</c:v>
                </c:pt>
                <c:pt idx="130">
                  <c:v>-0.23824674829306317</c:v>
                </c:pt>
                <c:pt idx="131">
                  <c:v>-0.24132015188529407</c:v>
                </c:pt>
                <c:pt idx="132">
                  <c:v>-0.23816900440813385</c:v>
                </c:pt>
                <c:pt idx="133">
                  <c:v>-0.2394754660323371</c:v>
                </c:pt>
                <c:pt idx="134">
                  <c:v>-0.23852487804290179</c:v>
                </c:pt>
                <c:pt idx="135">
                  <c:v>-0.23913231254268558</c:v>
                </c:pt>
                <c:pt idx="136">
                  <c:v>-0.23872038542475604</c:v>
                </c:pt>
                <c:pt idx="137">
                  <c:v>-0.23736024315036669</c:v>
                </c:pt>
                <c:pt idx="138">
                  <c:v>-0.23557345141947045</c:v>
                </c:pt>
                <c:pt idx="139">
                  <c:v>-0.23753636781745782</c:v>
                </c:pt>
                <c:pt idx="140">
                  <c:v>-0.23577036724147293</c:v>
                </c:pt>
                <c:pt idx="141">
                  <c:v>-0.23574563899504464</c:v>
                </c:pt>
                <c:pt idx="142">
                  <c:v>-0.23452417340255027</c:v>
                </c:pt>
                <c:pt idx="143">
                  <c:v>-0.23375564774822499</c:v>
                </c:pt>
                <c:pt idx="144">
                  <c:v>-0.23379304377698246</c:v>
                </c:pt>
                <c:pt idx="145">
                  <c:v>-0.23296293690781567</c:v>
                </c:pt>
                <c:pt idx="146">
                  <c:v>-0.23414147365699667</c:v>
                </c:pt>
                <c:pt idx="147">
                  <c:v>-0.23180324491544024</c:v>
                </c:pt>
                <c:pt idx="148">
                  <c:v>-0.23102966468304686</c:v>
                </c:pt>
                <c:pt idx="149">
                  <c:v>-0.23063762109271924</c:v>
                </c:pt>
                <c:pt idx="150">
                  <c:v>-0.23092274218710698</c:v>
                </c:pt>
                <c:pt idx="151">
                  <c:v>-0.23190624732121723</c:v>
                </c:pt>
                <c:pt idx="152">
                  <c:v>-0.22911918153805069</c:v>
                </c:pt>
                <c:pt idx="153">
                  <c:v>-0.2300223049306391</c:v>
                </c:pt>
                <c:pt idx="154">
                  <c:v>-0.22891333480705081</c:v>
                </c:pt>
                <c:pt idx="155">
                  <c:v>-0.22909717305163424</c:v>
                </c:pt>
                <c:pt idx="156">
                  <c:v>-0.22743296127585452</c:v>
                </c:pt>
                <c:pt idx="157">
                  <c:v>-0.22821969935139283</c:v>
                </c:pt>
                <c:pt idx="158">
                  <c:v>-0.22745524419508795</c:v>
                </c:pt>
                <c:pt idx="159">
                  <c:v>-0.22648309036816686</c:v>
                </c:pt>
                <c:pt idx="160">
                  <c:v>-0.22578929873353445</c:v>
                </c:pt>
                <c:pt idx="161">
                  <c:v>-0.22592845106814238</c:v>
                </c:pt>
                <c:pt idx="162">
                  <c:v>-0.22625248366074499</c:v>
                </c:pt>
                <c:pt idx="163">
                  <c:v>-0.22452475731539584</c:v>
                </c:pt>
                <c:pt idx="164">
                  <c:v>-0.22430521168221756</c:v>
                </c:pt>
                <c:pt idx="165">
                  <c:v>-0.22384217111561483</c:v>
                </c:pt>
                <c:pt idx="166">
                  <c:v>-0.22338570371732439</c:v>
                </c:pt>
                <c:pt idx="167">
                  <c:v>-0.22384879088788714</c:v>
                </c:pt>
                <c:pt idx="168">
                  <c:v>-0.22312115244741837</c:v>
                </c:pt>
                <c:pt idx="169">
                  <c:v>-0.22304360531681997</c:v>
                </c:pt>
                <c:pt idx="170">
                  <c:v>-0.22174801528293431</c:v>
                </c:pt>
                <c:pt idx="171">
                  <c:v>-0.22125867894363813</c:v>
                </c:pt>
                <c:pt idx="172">
                  <c:v>-0.22062354530575576</c:v>
                </c:pt>
                <c:pt idx="173">
                  <c:v>-0.22148908364652745</c:v>
                </c:pt>
                <c:pt idx="174">
                  <c:v>-0.22060795373484418</c:v>
                </c:pt>
                <c:pt idx="175">
                  <c:v>-0.21971779839585454</c:v>
                </c:pt>
                <c:pt idx="176">
                  <c:v>-0.21794324482205191</c:v>
                </c:pt>
                <c:pt idx="177">
                  <c:v>-0.21816051461601949</c:v>
                </c:pt>
                <c:pt idx="178">
                  <c:v>-0.21735593608701551</c:v>
                </c:pt>
                <c:pt idx="179">
                  <c:v>-0.21824822565457683</c:v>
                </c:pt>
                <c:pt idx="180">
                  <c:v>-0.21650865317295667</c:v>
                </c:pt>
                <c:pt idx="181">
                  <c:v>-0.21749308917817728</c:v>
                </c:pt>
                <c:pt idx="182">
                  <c:v>-0.21641051386486448</c:v>
                </c:pt>
                <c:pt idx="183">
                  <c:v>-0.21625043316680462</c:v>
                </c:pt>
                <c:pt idx="184">
                  <c:v>-0.21405040627351485</c:v>
                </c:pt>
                <c:pt idx="185">
                  <c:v>-0.21393367372479691</c:v>
                </c:pt>
                <c:pt idx="186">
                  <c:v>-0.21366191789398753</c:v>
                </c:pt>
                <c:pt idx="187">
                  <c:v>-0.21264750525993867</c:v>
                </c:pt>
                <c:pt idx="188">
                  <c:v>-0.21190980822835317</c:v>
                </c:pt>
                <c:pt idx="189">
                  <c:v>-0.21152487312491519</c:v>
                </c:pt>
                <c:pt idx="190">
                  <c:v>-0.21088576647179144</c:v>
                </c:pt>
                <c:pt idx="191">
                  <c:v>-0.21018639192851804</c:v>
                </c:pt>
                <c:pt idx="192">
                  <c:v>-0.21045647122405553</c:v>
                </c:pt>
                <c:pt idx="193">
                  <c:v>-0.21002162977387256</c:v>
                </c:pt>
                <c:pt idx="194">
                  <c:v>-0.20985213131821431</c:v>
                </c:pt>
                <c:pt idx="195">
                  <c:v>-0.20938464199013931</c:v>
                </c:pt>
                <c:pt idx="196">
                  <c:v>-0.20838806828357148</c:v>
                </c:pt>
                <c:pt idx="197">
                  <c:v>-0.20766929970340767</c:v>
                </c:pt>
                <c:pt idx="198">
                  <c:v>-0.20728294853348109</c:v>
                </c:pt>
                <c:pt idx="199">
                  <c:v>-0.20678955111681169</c:v>
                </c:pt>
                <c:pt idx="200">
                  <c:v>-0.20554351215480465</c:v>
                </c:pt>
                <c:pt idx="201">
                  <c:v>-0.20532938233751427</c:v>
                </c:pt>
                <c:pt idx="202">
                  <c:v>-0.20477078906885465</c:v>
                </c:pt>
                <c:pt idx="203">
                  <c:v>-0.20414441728599628</c:v>
                </c:pt>
                <c:pt idx="204">
                  <c:v>-0.20377066453917608</c:v>
                </c:pt>
                <c:pt idx="205">
                  <c:v>-0.20297032058934525</c:v>
                </c:pt>
                <c:pt idx="206">
                  <c:v>-0.202527936793895</c:v>
                </c:pt>
                <c:pt idx="207">
                  <c:v>-0.20191772626340052</c:v>
                </c:pt>
                <c:pt idx="208">
                  <c:v>-0.20153852401463504</c:v>
                </c:pt>
                <c:pt idx="209">
                  <c:v>-0.20082500840994605</c:v>
                </c:pt>
                <c:pt idx="210">
                  <c:v>-0.2004527569196487</c:v>
                </c:pt>
                <c:pt idx="211">
                  <c:v>-0.19986836301887226</c:v>
                </c:pt>
                <c:pt idx="212">
                  <c:v>-0.19955974689916842</c:v>
                </c:pt>
                <c:pt idx="213">
                  <c:v>-0.19870117515094304</c:v>
                </c:pt>
                <c:pt idx="214">
                  <c:v>-0.19820778365750241</c:v>
                </c:pt>
                <c:pt idx="215">
                  <c:v>-0.19740810468792475</c:v>
                </c:pt>
                <c:pt idx="216">
                  <c:v>-0.1968301587272053</c:v>
                </c:pt>
                <c:pt idx="217">
                  <c:v>-0.1965198161033532</c:v>
                </c:pt>
                <c:pt idx="218">
                  <c:v>-0.19606027900440076</c:v>
                </c:pt>
                <c:pt idx="219">
                  <c:v>-0.1953737180720834</c:v>
                </c:pt>
                <c:pt idx="220">
                  <c:v>-0.19468557765156869</c:v>
                </c:pt>
                <c:pt idx="221">
                  <c:v>-0.19421891763426286</c:v>
                </c:pt>
                <c:pt idx="222">
                  <c:v>-0.19352164121863458</c:v>
                </c:pt>
                <c:pt idx="223">
                  <c:v>-0.19299438744639455</c:v>
                </c:pt>
                <c:pt idx="224">
                  <c:v>-0.19235725788385011</c:v>
                </c:pt>
                <c:pt idx="225">
                  <c:v>-0.19182267913891884</c:v>
                </c:pt>
                <c:pt idx="226">
                  <c:v>-0.19126108591590554</c:v>
                </c:pt>
                <c:pt idx="227">
                  <c:v>-0.19071702727910614</c:v>
                </c:pt>
                <c:pt idx="228">
                  <c:v>-0.19000229412832428</c:v>
                </c:pt>
                <c:pt idx="229">
                  <c:v>-0.18951908809114132</c:v>
                </c:pt>
                <c:pt idx="230">
                  <c:v>-0.18890499394929619</c:v>
                </c:pt>
                <c:pt idx="231">
                  <c:v>-0.18829821190728863</c:v>
                </c:pt>
                <c:pt idx="232">
                  <c:v>-0.1877254233736402</c:v>
                </c:pt>
                <c:pt idx="233">
                  <c:v>-0.18715932013966136</c:v>
                </c:pt>
                <c:pt idx="234">
                  <c:v>-0.18655139391093783</c:v>
                </c:pt>
                <c:pt idx="235">
                  <c:v>-0.18589176069911192</c:v>
                </c:pt>
                <c:pt idx="236">
                  <c:v>-0.18529395542329236</c:v>
                </c:pt>
                <c:pt idx="237">
                  <c:v>-0.18469850389188833</c:v>
                </c:pt>
                <c:pt idx="238">
                  <c:v>-0.18403991831379016</c:v>
                </c:pt>
                <c:pt idx="239">
                  <c:v>-0.18335624340332546</c:v>
                </c:pt>
                <c:pt idx="240">
                  <c:v>-0.18224560172377324</c:v>
                </c:pt>
                <c:pt idx="241">
                  <c:v>-0.18167345363825715</c:v>
                </c:pt>
                <c:pt idx="242">
                  <c:v>-0.18103801705967706</c:v>
                </c:pt>
                <c:pt idx="243">
                  <c:v>-0.18037689658115982</c:v>
                </c:pt>
                <c:pt idx="244">
                  <c:v>-0.17975015182601894</c:v>
                </c:pt>
                <c:pt idx="245">
                  <c:v>-0.17911799404535664</c:v>
                </c:pt>
                <c:pt idx="246">
                  <c:v>-0.17847414419427832</c:v>
                </c:pt>
                <c:pt idx="247">
                  <c:v>-0.17780888396011185</c:v>
                </c:pt>
                <c:pt idx="248">
                  <c:v>-0.17697911370202829</c:v>
                </c:pt>
                <c:pt idx="249">
                  <c:v>-0.17635517258983963</c:v>
                </c:pt>
                <c:pt idx="250">
                  <c:v>-0.17570873566096917</c:v>
                </c:pt>
                <c:pt idx="251">
                  <c:v>-0.17504274822151814</c:v>
                </c:pt>
                <c:pt idx="252">
                  <c:v>-0.17422731881156633</c:v>
                </c:pt>
                <c:pt idx="253">
                  <c:v>-0.17341975362752027</c:v>
                </c:pt>
                <c:pt idx="254">
                  <c:v>-0.17261993946902293</c:v>
                </c:pt>
                <c:pt idx="255">
                  <c:v>-0.17182776529833704</c:v>
                </c:pt>
                <c:pt idx="256">
                  <c:v>-0.17104312214352746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922-47B6-A32F-677697C5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446912"/>
        <c:axId val="1392450272"/>
      </c:scatterChart>
      <c:valAx>
        <c:axId val="1392446912"/>
        <c:scaling>
          <c:orientation val="minMax"/>
          <c:max val="25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Wiper</a:t>
                </a:r>
                <a:r>
                  <a:rPr lang="en-US" sz="1600" baseline="0"/>
                  <a:t>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50272"/>
        <c:crossesAt val="-40"/>
        <c:crossBetween val="midCat"/>
        <c:minorUnit val="50"/>
      </c:valAx>
      <c:valAx>
        <c:axId val="1392450272"/>
        <c:scaling>
          <c:orientation val="minMax"/>
          <c:max val="1.2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4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239451795046411E-2"/>
          <c:y val="0.95000765170166968"/>
          <c:w val="0.9072895475964633"/>
          <c:h val="3.2992075077834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 Reference DC Offset Voltage vs.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sdia_profile!$F$1</c:f>
              <c:strCache>
                <c:ptCount val="1"/>
                <c:pt idx="0">
                  <c:v> Ref+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sdia_profile!$F$2:$F$258</c:f>
              <c:numCache>
                <c:formatCode>General</c:formatCode>
                <c:ptCount val="257"/>
                <c:pt idx="0">
                  <c:v>1.6438000000000001E-2</c:v>
                </c:pt>
                <c:pt idx="1">
                  <c:v>1.6562E-2</c:v>
                </c:pt>
                <c:pt idx="2">
                  <c:v>1.6625000000000001E-2</c:v>
                </c:pt>
                <c:pt idx="3">
                  <c:v>1.6750000000000001E-2</c:v>
                </c:pt>
                <c:pt idx="4">
                  <c:v>1.6938000000000002E-2</c:v>
                </c:pt>
                <c:pt idx="5">
                  <c:v>1.7187999999999998E-2</c:v>
                </c:pt>
                <c:pt idx="6">
                  <c:v>1.7312000000000001E-2</c:v>
                </c:pt>
                <c:pt idx="7">
                  <c:v>1.7375000000000002E-2</c:v>
                </c:pt>
                <c:pt idx="8">
                  <c:v>1.7562000000000001E-2</c:v>
                </c:pt>
                <c:pt idx="9">
                  <c:v>1.7812999999999999E-2</c:v>
                </c:pt>
                <c:pt idx="10">
                  <c:v>1.7999999999999999E-2</c:v>
                </c:pt>
                <c:pt idx="11">
                  <c:v>1.8124999999999999E-2</c:v>
                </c:pt>
                <c:pt idx="12">
                  <c:v>1.8249999999999999E-2</c:v>
                </c:pt>
                <c:pt idx="13">
                  <c:v>1.8438E-2</c:v>
                </c:pt>
                <c:pt idx="14">
                  <c:v>1.8688E-2</c:v>
                </c:pt>
                <c:pt idx="15">
                  <c:v>1.8811999999999999E-2</c:v>
                </c:pt>
                <c:pt idx="16">
                  <c:v>1.9061999999999999E-2</c:v>
                </c:pt>
                <c:pt idx="17">
                  <c:v>1.9311999999999999E-2</c:v>
                </c:pt>
                <c:pt idx="18">
                  <c:v>1.9438E-2</c:v>
                </c:pt>
                <c:pt idx="19">
                  <c:v>1.975E-2</c:v>
                </c:pt>
                <c:pt idx="20">
                  <c:v>1.9938000000000001E-2</c:v>
                </c:pt>
                <c:pt idx="21">
                  <c:v>2.0188000000000001E-2</c:v>
                </c:pt>
                <c:pt idx="22">
                  <c:v>2.0375000000000001E-2</c:v>
                </c:pt>
                <c:pt idx="23">
                  <c:v>2.0500000000000001E-2</c:v>
                </c:pt>
                <c:pt idx="24">
                  <c:v>2.0750000000000001E-2</c:v>
                </c:pt>
                <c:pt idx="25">
                  <c:v>2.1000000000000001E-2</c:v>
                </c:pt>
                <c:pt idx="26">
                  <c:v>2.1187999999999999E-2</c:v>
                </c:pt>
                <c:pt idx="27">
                  <c:v>2.1437999999999999E-2</c:v>
                </c:pt>
                <c:pt idx="28">
                  <c:v>2.1687999999999999E-2</c:v>
                </c:pt>
                <c:pt idx="29">
                  <c:v>2.1937999999999999E-2</c:v>
                </c:pt>
                <c:pt idx="30">
                  <c:v>2.2249999999999999E-2</c:v>
                </c:pt>
                <c:pt idx="31">
                  <c:v>2.2438E-2</c:v>
                </c:pt>
                <c:pt idx="32">
                  <c:v>2.2811999999999999E-2</c:v>
                </c:pt>
                <c:pt idx="33">
                  <c:v>2.3E-2</c:v>
                </c:pt>
                <c:pt idx="34">
                  <c:v>2.3375E-2</c:v>
                </c:pt>
                <c:pt idx="35">
                  <c:v>2.3562E-2</c:v>
                </c:pt>
                <c:pt idx="36">
                  <c:v>2.3938000000000001E-2</c:v>
                </c:pt>
                <c:pt idx="37">
                  <c:v>2.4312E-2</c:v>
                </c:pt>
                <c:pt idx="38">
                  <c:v>2.4438000000000001E-2</c:v>
                </c:pt>
                <c:pt idx="39">
                  <c:v>2.4812000000000001E-2</c:v>
                </c:pt>
                <c:pt idx="40">
                  <c:v>2.5125000000000001E-2</c:v>
                </c:pt>
                <c:pt idx="41">
                  <c:v>2.5375000000000002E-2</c:v>
                </c:pt>
                <c:pt idx="42">
                  <c:v>2.5687999999999999E-2</c:v>
                </c:pt>
                <c:pt idx="43">
                  <c:v>2.6061999999999998E-2</c:v>
                </c:pt>
                <c:pt idx="44">
                  <c:v>2.6438E-2</c:v>
                </c:pt>
                <c:pt idx="45">
                  <c:v>2.6811999999999999E-2</c:v>
                </c:pt>
                <c:pt idx="46">
                  <c:v>2.7061999999999999E-2</c:v>
                </c:pt>
                <c:pt idx="47">
                  <c:v>2.75E-2</c:v>
                </c:pt>
                <c:pt idx="48">
                  <c:v>2.7938000000000001E-2</c:v>
                </c:pt>
                <c:pt idx="49">
                  <c:v>2.8375000000000001E-2</c:v>
                </c:pt>
                <c:pt idx="50">
                  <c:v>2.8688000000000002E-2</c:v>
                </c:pt>
                <c:pt idx="51">
                  <c:v>2.9125000000000002E-2</c:v>
                </c:pt>
                <c:pt idx="52">
                  <c:v>2.9437999999999999E-2</c:v>
                </c:pt>
                <c:pt idx="53">
                  <c:v>2.9937999999999999E-2</c:v>
                </c:pt>
                <c:pt idx="54">
                  <c:v>3.0438E-2</c:v>
                </c:pt>
                <c:pt idx="55">
                  <c:v>3.0938E-2</c:v>
                </c:pt>
                <c:pt idx="56">
                  <c:v>3.1375E-2</c:v>
                </c:pt>
                <c:pt idx="57">
                  <c:v>3.1812E-2</c:v>
                </c:pt>
                <c:pt idx="58">
                  <c:v>3.2375000000000001E-2</c:v>
                </c:pt>
                <c:pt idx="59">
                  <c:v>3.2812000000000001E-2</c:v>
                </c:pt>
                <c:pt idx="60">
                  <c:v>3.3312000000000001E-2</c:v>
                </c:pt>
                <c:pt idx="61">
                  <c:v>3.3812000000000002E-2</c:v>
                </c:pt>
                <c:pt idx="62">
                  <c:v>3.4438000000000003E-2</c:v>
                </c:pt>
                <c:pt idx="63">
                  <c:v>3.5000000000000003E-2</c:v>
                </c:pt>
                <c:pt idx="64">
                  <c:v>3.5624999999999997E-2</c:v>
                </c:pt>
                <c:pt idx="65">
                  <c:v>3.6124999999999997E-2</c:v>
                </c:pt>
                <c:pt idx="66">
                  <c:v>3.6749999999999998E-2</c:v>
                </c:pt>
                <c:pt idx="67">
                  <c:v>3.7437999999999999E-2</c:v>
                </c:pt>
                <c:pt idx="68">
                  <c:v>3.8061999999999999E-2</c:v>
                </c:pt>
                <c:pt idx="69">
                  <c:v>3.8811999999999999E-2</c:v>
                </c:pt>
                <c:pt idx="70">
                  <c:v>3.95E-2</c:v>
                </c:pt>
                <c:pt idx="71">
                  <c:v>4.0250000000000001E-2</c:v>
                </c:pt>
                <c:pt idx="72">
                  <c:v>4.1000000000000002E-2</c:v>
                </c:pt>
                <c:pt idx="73">
                  <c:v>4.1812000000000002E-2</c:v>
                </c:pt>
                <c:pt idx="74">
                  <c:v>4.2625000000000003E-2</c:v>
                </c:pt>
                <c:pt idx="75">
                  <c:v>4.3312999999999997E-2</c:v>
                </c:pt>
                <c:pt idx="76">
                  <c:v>4.4249999999999998E-2</c:v>
                </c:pt>
                <c:pt idx="77">
                  <c:v>4.5249999999999999E-2</c:v>
                </c:pt>
                <c:pt idx="78">
                  <c:v>4.6124999999999999E-2</c:v>
                </c:pt>
                <c:pt idx="79">
                  <c:v>4.7188000000000001E-2</c:v>
                </c:pt>
                <c:pt idx="80">
                  <c:v>4.8375000000000001E-2</c:v>
                </c:pt>
                <c:pt idx="81">
                  <c:v>4.9500000000000002E-2</c:v>
                </c:pt>
                <c:pt idx="82">
                  <c:v>5.0625000000000003E-2</c:v>
                </c:pt>
                <c:pt idx="83">
                  <c:v>5.1624999999999997E-2</c:v>
                </c:pt>
                <c:pt idx="84">
                  <c:v>5.2937999999999999E-2</c:v>
                </c:pt>
                <c:pt idx="85">
                  <c:v>5.425E-2</c:v>
                </c:pt>
                <c:pt idx="86">
                  <c:v>5.5562E-2</c:v>
                </c:pt>
                <c:pt idx="87">
                  <c:v>5.7000000000000002E-2</c:v>
                </c:pt>
                <c:pt idx="88">
                  <c:v>5.8437999999999997E-2</c:v>
                </c:pt>
                <c:pt idx="89">
                  <c:v>5.9937999999999998E-2</c:v>
                </c:pt>
                <c:pt idx="90">
                  <c:v>6.1624999999999999E-2</c:v>
                </c:pt>
                <c:pt idx="91">
                  <c:v>6.3250000000000001E-2</c:v>
                </c:pt>
                <c:pt idx="92">
                  <c:v>6.5061999999999995E-2</c:v>
                </c:pt>
                <c:pt idx="93">
                  <c:v>6.7000000000000004E-2</c:v>
                </c:pt>
                <c:pt idx="94">
                  <c:v>6.9000000000000006E-2</c:v>
                </c:pt>
                <c:pt idx="95">
                  <c:v>7.1062E-2</c:v>
                </c:pt>
                <c:pt idx="96">
                  <c:v>7.3688000000000003E-2</c:v>
                </c:pt>
                <c:pt idx="97">
                  <c:v>7.5999999999999998E-2</c:v>
                </c:pt>
                <c:pt idx="98">
                  <c:v>7.8625E-2</c:v>
                </c:pt>
                <c:pt idx="99">
                  <c:v>8.1250000000000003E-2</c:v>
                </c:pt>
                <c:pt idx="100">
                  <c:v>8.4250000000000005E-2</c:v>
                </c:pt>
                <c:pt idx="101">
                  <c:v>8.7374999999999994E-2</c:v>
                </c:pt>
                <c:pt idx="102">
                  <c:v>9.0749999999999997E-2</c:v>
                </c:pt>
                <c:pt idx="103">
                  <c:v>9.4312999999999994E-2</c:v>
                </c:pt>
                <c:pt idx="104">
                  <c:v>9.8437999999999998E-2</c:v>
                </c:pt>
                <c:pt idx="105">
                  <c:v>0.102812</c:v>
                </c:pt>
                <c:pt idx="106">
                  <c:v>0.107375</c:v>
                </c:pt>
                <c:pt idx="107">
                  <c:v>0.112375</c:v>
                </c:pt>
                <c:pt idx="108">
                  <c:v>0.118188</c:v>
                </c:pt>
                <c:pt idx="109">
                  <c:v>0.12431200000000001</c:v>
                </c:pt>
                <c:pt idx="110">
                  <c:v>0.13100000000000001</c:v>
                </c:pt>
                <c:pt idx="111">
                  <c:v>0.13856199999999999</c:v>
                </c:pt>
                <c:pt idx="112">
                  <c:v>0.14693800000000001</c:v>
                </c:pt>
                <c:pt idx="113">
                  <c:v>0.15662499999999999</c:v>
                </c:pt>
                <c:pt idx="114">
                  <c:v>0.16731199999999999</c:v>
                </c:pt>
                <c:pt idx="115">
                  <c:v>0.17974999999999999</c:v>
                </c:pt>
                <c:pt idx="116">
                  <c:v>0.19431200000000001</c:v>
                </c:pt>
                <c:pt idx="117">
                  <c:v>0.211062</c:v>
                </c:pt>
                <c:pt idx="118">
                  <c:v>0.231125</c:v>
                </c:pt>
                <c:pt idx="119">
                  <c:v>0.25518800000000003</c:v>
                </c:pt>
                <c:pt idx="120">
                  <c:v>0.28293800000000002</c:v>
                </c:pt>
                <c:pt idx="121">
                  <c:v>0.31931199999999998</c:v>
                </c:pt>
                <c:pt idx="122">
                  <c:v>0.36631200000000003</c:v>
                </c:pt>
                <c:pt idx="123">
                  <c:v>0.42943799999999999</c:v>
                </c:pt>
                <c:pt idx="124">
                  <c:v>0.51837500000000003</c:v>
                </c:pt>
                <c:pt idx="125">
                  <c:v>0.65275000000000005</c:v>
                </c:pt>
                <c:pt idx="126">
                  <c:v>0.87568800000000002</c:v>
                </c:pt>
                <c:pt idx="127">
                  <c:v>1.318125</c:v>
                </c:pt>
                <c:pt idx="128">
                  <c:v>2.0479379999999998</c:v>
                </c:pt>
                <c:pt idx="129">
                  <c:v>2.048</c:v>
                </c:pt>
                <c:pt idx="130">
                  <c:v>2.048</c:v>
                </c:pt>
                <c:pt idx="131">
                  <c:v>2.048</c:v>
                </c:pt>
                <c:pt idx="132">
                  <c:v>2.048</c:v>
                </c:pt>
                <c:pt idx="133">
                  <c:v>2.048</c:v>
                </c:pt>
                <c:pt idx="134">
                  <c:v>2.048</c:v>
                </c:pt>
                <c:pt idx="135">
                  <c:v>2.048</c:v>
                </c:pt>
                <c:pt idx="136">
                  <c:v>2.048</c:v>
                </c:pt>
                <c:pt idx="137">
                  <c:v>2.048</c:v>
                </c:pt>
                <c:pt idx="138">
                  <c:v>2.048</c:v>
                </c:pt>
                <c:pt idx="139">
                  <c:v>2.048</c:v>
                </c:pt>
                <c:pt idx="140">
                  <c:v>2.048</c:v>
                </c:pt>
                <c:pt idx="141">
                  <c:v>2.048</c:v>
                </c:pt>
                <c:pt idx="142">
                  <c:v>2.048</c:v>
                </c:pt>
                <c:pt idx="143">
                  <c:v>2.048</c:v>
                </c:pt>
                <c:pt idx="144">
                  <c:v>2.048</c:v>
                </c:pt>
                <c:pt idx="145">
                  <c:v>2.048</c:v>
                </c:pt>
                <c:pt idx="146">
                  <c:v>2.048</c:v>
                </c:pt>
                <c:pt idx="147">
                  <c:v>2.048</c:v>
                </c:pt>
                <c:pt idx="148">
                  <c:v>2.048</c:v>
                </c:pt>
                <c:pt idx="149">
                  <c:v>2.048</c:v>
                </c:pt>
                <c:pt idx="150">
                  <c:v>2.048</c:v>
                </c:pt>
                <c:pt idx="151">
                  <c:v>2.048</c:v>
                </c:pt>
                <c:pt idx="152">
                  <c:v>2.048</c:v>
                </c:pt>
                <c:pt idx="153">
                  <c:v>2.048</c:v>
                </c:pt>
                <c:pt idx="154">
                  <c:v>2.048</c:v>
                </c:pt>
                <c:pt idx="155">
                  <c:v>2.048</c:v>
                </c:pt>
                <c:pt idx="156">
                  <c:v>2.048</c:v>
                </c:pt>
                <c:pt idx="157">
                  <c:v>2.048</c:v>
                </c:pt>
                <c:pt idx="158">
                  <c:v>2.048</c:v>
                </c:pt>
                <c:pt idx="159">
                  <c:v>2.048</c:v>
                </c:pt>
                <c:pt idx="160">
                  <c:v>2.048</c:v>
                </c:pt>
                <c:pt idx="161">
                  <c:v>2.048</c:v>
                </c:pt>
                <c:pt idx="162">
                  <c:v>2.048</c:v>
                </c:pt>
                <c:pt idx="163">
                  <c:v>2.048</c:v>
                </c:pt>
                <c:pt idx="164">
                  <c:v>2.048</c:v>
                </c:pt>
                <c:pt idx="165">
                  <c:v>2.048</c:v>
                </c:pt>
                <c:pt idx="166">
                  <c:v>2.048</c:v>
                </c:pt>
                <c:pt idx="167">
                  <c:v>2.048</c:v>
                </c:pt>
                <c:pt idx="168">
                  <c:v>2.048</c:v>
                </c:pt>
                <c:pt idx="169">
                  <c:v>2.048</c:v>
                </c:pt>
                <c:pt idx="170">
                  <c:v>2.048</c:v>
                </c:pt>
                <c:pt idx="171">
                  <c:v>2.048</c:v>
                </c:pt>
                <c:pt idx="172">
                  <c:v>2.048</c:v>
                </c:pt>
                <c:pt idx="173">
                  <c:v>2.048</c:v>
                </c:pt>
                <c:pt idx="174">
                  <c:v>2.048</c:v>
                </c:pt>
                <c:pt idx="175">
                  <c:v>2.048</c:v>
                </c:pt>
                <c:pt idx="176">
                  <c:v>2.048</c:v>
                </c:pt>
                <c:pt idx="177">
                  <c:v>2.048</c:v>
                </c:pt>
                <c:pt idx="178">
                  <c:v>2.048</c:v>
                </c:pt>
                <c:pt idx="179">
                  <c:v>2.048</c:v>
                </c:pt>
                <c:pt idx="180">
                  <c:v>2.048</c:v>
                </c:pt>
                <c:pt idx="181">
                  <c:v>2.048</c:v>
                </c:pt>
                <c:pt idx="182">
                  <c:v>2.048</c:v>
                </c:pt>
                <c:pt idx="183">
                  <c:v>2.048</c:v>
                </c:pt>
                <c:pt idx="184">
                  <c:v>2.048</c:v>
                </c:pt>
                <c:pt idx="185">
                  <c:v>2.048</c:v>
                </c:pt>
                <c:pt idx="186">
                  <c:v>2.048</c:v>
                </c:pt>
                <c:pt idx="187">
                  <c:v>2.048</c:v>
                </c:pt>
                <c:pt idx="188">
                  <c:v>2.048</c:v>
                </c:pt>
                <c:pt idx="189">
                  <c:v>2.048</c:v>
                </c:pt>
                <c:pt idx="190">
                  <c:v>2.048</c:v>
                </c:pt>
                <c:pt idx="191">
                  <c:v>2.048</c:v>
                </c:pt>
                <c:pt idx="192">
                  <c:v>2.048</c:v>
                </c:pt>
                <c:pt idx="193">
                  <c:v>2.048</c:v>
                </c:pt>
                <c:pt idx="194">
                  <c:v>2.048</c:v>
                </c:pt>
                <c:pt idx="195">
                  <c:v>2.048</c:v>
                </c:pt>
                <c:pt idx="196">
                  <c:v>2.048</c:v>
                </c:pt>
                <c:pt idx="197">
                  <c:v>2.048</c:v>
                </c:pt>
                <c:pt idx="198">
                  <c:v>2.048</c:v>
                </c:pt>
                <c:pt idx="199">
                  <c:v>2.048</c:v>
                </c:pt>
                <c:pt idx="200">
                  <c:v>2.048</c:v>
                </c:pt>
                <c:pt idx="201">
                  <c:v>2.048</c:v>
                </c:pt>
                <c:pt idx="202">
                  <c:v>2.048</c:v>
                </c:pt>
                <c:pt idx="203">
                  <c:v>2.048</c:v>
                </c:pt>
                <c:pt idx="204">
                  <c:v>2.048</c:v>
                </c:pt>
                <c:pt idx="205">
                  <c:v>2.048</c:v>
                </c:pt>
                <c:pt idx="206">
                  <c:v>2.048</c:v>
                </c:pt>
                <c:pt idx="207">
                  <c:v>2.048</c:v>
                </c:pt>
                <c:pt idx="208">
                  <c:v>2.048</c:v>
                </c:pt>
                <c:pt idx="209">
                  <c:v>2.048</c:v>
                </c:pt>
                <c:pt idx="210">
                  <c:v>2.048</c:v>
                </c:pt>
                <c:pt idx="211">
                  <c:v>2.048</c:v>
                </c:pt>
                <c:pt idx="212">
                  <c:v>2.048</c:v>
                </c:pt>
                <c:pt idx="213">
                  <c:v>2.048</c:v>
                </c:pt>
                <c:pt idx="214">
                  <c:v>2.048</c:v>
                </c:pt>
                <c:pt idx="215">
                  <c:v>2.048</c:v>
                </c:pt>
                <c:pt idx="216">
                  <c:v>2.048</c:v>
                </c:pt>
                <c:pt idx="217">
                  <c:v>2.048</c:v>
                </c:pt>
                <c:pt idx="218">
                  <c:v>2.048</c:v>
                </c:pt>
                <c:pt idx="219">
                  <c:v>2.048</c:v>
                </c:pt>
                <c:pt idx="220">
                  <c:v>2.048</c:v>
                </c:pt>
                <c:pt idx="221">
                  <c:v>2.048</c:v>
                </c:pt>
                <c:pt idx="222">
                  <c:v>2.048</c:v>
                </c:pt>
                <c:pt idx="223">
                  <c:v>2.048</c:v>
                </c:pt>
                <c:pt idx="224">
                  <c:v>2.048</c:v>
                </c:pt>
                <c:pt idx="225">
                  <c:v>2.048</c:v>
                </c:pt>
                <c:pt idx="226">
                  <c:v>2.048</c:v>
                </c:pt>
                <c:pt idx="227">
                  <c:v>2.048</c:v>
                </c:pt>
                <c:pt idx="228">
                  <c:v>2.048</c:v>
                </c:pt>
                <c:pt idx="229">
                  <c:v>2.048</c:v>
                </c:pt>
                <c:pt idx="230">
                  <c:v>2.048</c:v>
                </c:pt>
                <c:pt idx="231">
                  <c:v>2.048</c:v>
                </c:pt>
                <c:pt idx="232">
                  <c:v>2.048</c:v>
                </c:pt>
                <c:pt idx="233">
                  <c:v>2.048</c:v>
                </c:pt>
                <c:pt idx="234">
                  <c:v>2.048</c:v>
                </c:pt>
                <c:pt idx="235">
                  <c:v>2.048</c:v>
                </c:pt>
                <c:pt idx="236">
                  <c:v>2.048</c:v>
                </c:pt>
                <c:pt idx="237">
                  <c:v>2.048</c:v>
                </c:pt>
                <c:pt idx="238">
                  <c:v>2.048</c:v>
                </c:pt>
                <c:pt idx="239">
                  <c:v>2.048</c:v>
                </c:pt>
                <c:pt idx="240">
                  <c:v>2.048</c:v>
                </c:pt>
                <c:pt idx="241">
                  <c:v>2.048</c:v>
                </c:pt>
                <c:pt idx="242">
                  <c:v>2.048</c:v>
                </c:pt>
                <c:pt idx="243">
                  <c:v>2.048</c:v>
                </c:pt>
                <c:pt idx="244">
                  <c:v>2.048</c:v>
                </c:pt>
                <c:pt idx="245">
                  <c:v>2.048</c:v>
                </c:pt>
                <c:pt idx="246">
                  <c:v>2.048</c:v>
                </c:pt>
                <c:pt idx="247">
                  <c:v>2.048</c:v>
                </c:pt>
                <c:pt idx="248">
                  <c:v>2.048</c:v>
                </c:pt>
                <c:pt idx="249">
                  <c:v>2.048</c:v>
                </c:pt>
                <c:pt idx="250">
                  <c:v>2.048</c:v>
                </c:pt>
                <c:pt idx="251">
                  <c:v>2.048</c:v>
                </c:pt>
                <c:pt idx="252">
                  <c:v>2.048</c:v>
                </c:pt>
                <c:pt idx="253">
                  <c:v>2.048</c:v>
                </c:pt>
                <c:pt idx="254">
                  <c:v>2.048</c:v>
                </c:pt>
                <c:pt idx="255">
                  <c:v>2.048</c:v>
                </c:pt>
                <c:pt idx="256">
                  <c:v>2.048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5-424C-A033-C92B08FC78E9}"/>
            </c:ext>
          </c:extLst>
        </c:ser>
        <c:ser>
          <c:idx val="1"/>
          <c:order val="1"/>
          <c:tx>
            <c:strRef>
              <c:f>sdia_profile!$G$1</c:f>
              <c:strCache>
                <c:ptCount val="1"/>
                <c:pt idx="0">
                  <c:v> Ref-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sdia_profile!$G$2:$G$258</c:f>
              <c:numCache>
                <c:formatCode>General</c:formatCode>
                <c:ptCount val="257"/>
                <c:pt idx="0">
                  <c:v>1.6500000000000001E-2</c:v>
                </c:pt>
                <c:pt idx="1">
                  <c:v>5.4438E-2</c:v>
                </c:pt>
                <c:pt idx="2">
                  <c:v>9.0874999999999997E-2</c:v>
                </c:pt>
                <c:pt idx="3">
                  <c:v>0.12612499999999999</c:v>
                </c:pt>
                <c:pt idx="4">
                  <c:v>0.16056200000000001</c:v>
                </c:pt>
                <c:pt idx="5">
                  <c:v>0.19356200000000001</c:v>
                </c:pt>
                <c:pt idx="6">
                  <c:v>0.22575000000000001</c:v>
                </c:pt>
                <c:pt idx="7">
                  <c:v>0.25693700000000003</c:v>
                </c:pt>
                <c:pt idx="8">
                  <c:v>0.28625</c:v>
                </c:pt>
                <c:pt idx="9">
                  <c:v>0.3155</c:v>
                </c:pt>
                <c:pt idx="10">
                  <c:v>0.34393800000000002</c:v>
                </c:pt>
                <c:pt idx="11">
                  <c:v>0.37175000000000002</c:v>
                </c:pt>
                <c:pt idx="12">
                  <c:v>0.39874999999999999</c:v>
                </c:pt>
                <c:pt idx="13">
                  <c:v>0.42481200000000002</c:v>
                </c:pt>
                <c:pt idx="14">
                  <c:v>0.45006299999999999</c:v>
                </c:pt>
                <c:pt idx="15">
                  <c:v>0.47493800000000003</c:v>
                </c:pt>
                <c:pt idx="16">
                  <c:v>0.49937500000000001</c:v>
                </c:pt>
                <c:pt idx="17">
                  <c:v>0.52293800000000001</c:v>
                </c:pt>
                <c:pt idx="18">
                  <c:v>0.54562500000000003</c:v>
                </c:pt>
                <c:pt idx="19">
                  <c:v>0.56781199999999998</c:v>
                </c:pt>
                <c:pt idx="20">
                  <c:v>0.58975</c:v>
                </c:pt>
                <c:pt idx="21">
                  <c:v>0.61062499999999997</c:v>
                </c:pt>
                <c:pt idx="22">
                  <c:v>0.63106200000000001</c:v>
                </c:pt>
                <c:pt idx="23">
                  <c:v>0.65149999999999997</c:v>
                </c:pt>
                <c:pt idx="24">
                  <c:v>0.67143799999999998</c:v>
                </c:pt>
                <c:pt idx="25">
                  <c:v>0.69074999999999998</c:v>
                </c:pt>
                <c:pt idx="26">
                  <c:v>0.70925000000000005</c:v>
                </c:pt>
                <c:pt idx="27">
                  <c:v>0.72743800000000003</c:v>
                </c:pt>
                <c:pt idx="28">
                  <c:v>0.74543800000000005</c:v>
                </c:pt>
                <c:pt idx="29">
                  <c:v>0.76275000000000004</c:v>
                </c:pt>
                <c:pt idx="30">
                  <c:v>0.77975000000000005</c:v>
                </c:pt>
                <c:pt idx="31">
                  <c:v>0.79649999999999999</c:v>
                </c:pt>
                <c:pt idx="32">
                  <c:v>0.81262500000000004</c:v>
                </c:pt>
                <c:pt idx="33">
                  <c:v>0.82837499999999997</c:v>
                </c:pt>
                <c:pt idx="34">
                  <c:v>0.84412500000000001</c:v>
                </c:pt>
                <c:pt idx="35">
                  <c:v>0.85931199999999996</c:v>
                </c:pt>
                <c:pt idx="36">
                  <c:v>0.87412500000000004</c:v>
                </c:pt>
                <c:pt idx="37">
                  <c:v>0.88875000000000004</c:v>
                </c:pt>
                <c:pt idx="38">
                  <c:v>0.90325</c:v>
                </c:pt>
                <c:pt idx="39">
                  <c:v>0.91725000000000001</c:v>
                </c:pt>
                <c:pt idx="40">
                  <c:v>0.93049999999999999</c:v>
                </c:pt>
                <c:pt idx="41">
                  <c:v>0.94399999999999995</c:v>
                </c:pt>
                <c:pt idx="42">
                  <c:v>0.95743800000000001</c:v>
                </c:pt>
                <c:pt idx="43">
                  <c:v>0.97024999999999995</c:v>
                </c:pt>
                <c:pt idx="44">
                  <c:v>0.98287500000000005</c:v>
                </c:pt>
                <c:pt idx="45">
                  <c:v>0.99537500000000001</c:v>
                </c:pt>
                <c:pt idx="46">
                  <c:v>1.0075620000000001</c:v>
                </c:pt>
                <c:pt idx="47">
                  <c:v>1.019625</c:v>
                </c:pt>
                <c:pt idx="48">
                  <c:v>1.032063</c:v>
                </c:pt>
                <c:pt idx="49">
                  <c:v>1.0436879999999999</c:v>
                </c:pt>
                <c:pt idx="50">
                  <c:v>1.0549379999999999</c:v>
                </c:pt>
                <c:pt idx="51">
                  <c:v>1.066125</c:v>
                </c:pt>
                <c:pt idx="52">
                  <c:v>1.0766880000000001</c:v>
                </c:pt>
                <c:pt idx="53">
                  <c:v>1.0875619999999999</c:v>
                </c:pt>
                <c:pt idx="54">
                  <c:v>1.0981879999999999</c:v>
                </c:pt>
                <c:pt idx="55">
                  <c:v>1.1083130000000001</c:v>
                </c:pt>
                <c:pt idx="56">
                  <c:v>1.1185</c:v>
                </c:pt>
                <c:pt idx="57">
                  <c:v>1.1285000000000001</c:v>
                </c:pt>
                <c:pt idx="58">
                  <c:v>1.13825</c:v>
                </c:pt>
                <c:pt idx="59">
                  <c:v>1.1479999999999999</c:v>
                </c:pt>
                <c:pt idx="60">
                  <c:v>1.1576249999999999</c:v>
                </c:pt>
                <c:pt idx="61">
                  <c:v>1.1665620000000001</c:v>
                </c:pt>
                <c:pt idx="62">
                  <c:v>1.1758120000000001</c:v>
                </c:pt>
                <c:pt idx="63">
                  <c:v>1.1849369999999999</c:v>
                </c:pt>
                <c:pt idx="64">
                  <c:v>1.1941870000000001</c:v>
                </c:pt>
                <c:pt idx="65">
                  <c:v>1.20275</c:v>
                </c:pt>
                <c:pt idx="66">
                  <c:v>1.2113750000000001</c:v>
                </c:pt>
                <c:pt idx="67">
                  <c:v>1.2197499999999999</c:v>
                </c:pt>
                <c:pt idx="68">
                  <c:v>1.2282500000000001</c:v>
                </c:pt>
                <c:pt idx="69">
                  <c:v>1.2363120000000001</c:v>
                </c:pt>
                <c:pt idx="70">
                  <c:v>1.2443120000000001</c:v>
                </c:pt>
                <c:pt idx="71">
                  <c:v>1.2522500000000001</c:v>
                </c:pt>
                <c:pt idx="72">
                  <c:v>1.2605</c:v>
                </c:pt>
                <c:pt idx="73">
                  <c:v>1.2681880000000001</c:v>
                </c:pt>
                <c:pt idx="74">
                  <c:v>1.2759370000000001</c:v>
                </c:pt>
                <c:pt idx="75">
                  <c:v>1.2835000000000001</c:v>
                </c:pt>
                <c:pt idx="76">
                  <c:v>1.2906249999999999</c:v>
                </c:pt>
                <c:pt idx="77">
                  <c:v>1.2975000000000001</c:v>
                </c:pt>
                <c:pt idx="78">
                  <c:v>1.3049379999999999</c:v>
                </c:pt>
                <c:pt idx="79">
                  <c:v>1.3120000000000001</c:v>
                </c:pt>
                <c:pt idx="80">
                  <c:v>1.3183750000000001</c:v>
                </c:pt>
                <c:pt idx="81">
                  <c:v>1.3250630000000001</c:v>
                </c:pt>
                <c:pt idx="82">
                  <c:v>1.33175</c:v>
                </c:pt>
                <c:pt idx="83">
                  <c:v>1.338625</c:v>
                </c:pt>
                <c:pt idx="84">
                  <c:v>1.344875</c:v>
                </c:pt>
                <c:pt idx="85">
                  <c:v>1.3514999999999999</c:v>
                </c:pt>
                <c:pt idx="86">
                  <c:v>1.3578129999999999</c:v>
                </c:pt>
                <c:pt idx="87">
                  <c:v>1.3640000000000001</c:v>
                </c:pt>
                <c:pt idx="88">
                  <c:v>1.3705000000000001</c:v>
                </c:pt>
                <c:pt idx="89">
                  <c:v>1.3764380000000001</c:v>
                </c:pt>
                <c:pt idx="90">
                  <c:v>1.3827499999999999</c:v>
                </c:pt>
                <c:pt idx="91">
                  <c:v>1.3885000000000001</c:v>
                </c:pt>
                <c:pt idx="92">
                  <c:v>1.3943129999999999</c:v>
                </c:pt>
                <c:pt idx="93">
                  <c:v>1.4001870000000001</c:v>
                </c:pt>
                <c:pt idx="94">
                  <c:v>1.4060619999999999</c:v>
                </c:pt>
                <c:pt idx="95">
                  <c:v>1.4116880000000001</c:v>
                </c:pt>
                <c:pt idx="96">
                  <c:v>1.417125</c:v>
                </c:pt>
                <c:pt idx="97">
                  <c:v>1.4223749999999999</c:v>
                </c:pt>
                <c:pt idx="98">
                  <c:v>1.427875</c:v>
                </c:pt>
                <c:pt idx="99">
                  <c:v>1.4333750000000001</c:v>
                </c:pt>
                <c:pt idx="100">
                  <c:v>1.4384380000000001</c:v>
                </c:pt>
                <c:pt idx="101">
                  <c:v>1.4439379999999999</c:v>
                </c:pt>
                <c:pt idx="102">
                  <c:v>1.4490620000000001</c:v>
                </c:pt>
                <c:pt idx="103">
                  <c:v>1.453875</c:v>
                </c:pt>
                <c:pt idx="104">
                  <c:v>1.45875</c:v>
                </c:pt>
                <c:pt idx="105">
                  <c:v>1.4638119999999999</c:v>
                </c:pt>
                <c:pt idx="106">
                  <c:v>1.4688129999999999</c:v>
                </c:pt>
                <c:pt idx="107">
                  <c:v>1.473563</c:v>
                </c:pt>
                <c:pt idx="108">
                  <c:v>1.4784379999999999</c:v>
                </c:pt>
                <c:pt idx="109">
                  <c:v>1.483188</c:v>
                </c:pt>
                <c:pt idx="110">
                  <c:v>1.4877499999999999</c:v>
                </c:pt>
                <c:pt idx="111">
                  <c:v>1.4924999999999999</c:v>
                </c:pt>
                <c:pt idx="112">
                  <c:v>1.497125</c:v>
                </c:pt>
                <c:pt idx="113">
                  <c:v>1.501563</c:v>
                </c:pt>
                <c:pt idx="114">
                  <c:v>1.5061249999999999</c:v>
                </c:pt>
                <c:pt idx="115">
                  <c:v>1.5105</c:v>
                </c:pt>
                <c:pt idx="116">
                  <c:v>1.514875</c:v>
                </c:pt>
                <c:pt idx="117">
                  <c:v>1.5191250000000001</c:v>
                </c:pt>
                <c:pt idx="118">
                  <c:v>1.5235000000000001</c:v>
                </c:pt>
                <c:pt idx="119">
                  <c:v>1.527938</c:v>
                </c:pt>
                <c:pt idx="120">
                  <c:v>1.532438</c:v>
                </c:pt>
                <c:pt idx="121">
                  <c:v>1.536438</c:v>
                </c:pt>
                <c:pt idx="122">
                  <c:v>1.5405</c:v>
                </c:pt>
                <c:pt idx="123">
                  <c:v>1.5443119999999999</c:v>
                </c:pt>
                <c:pt idx="124">
                  <c:v>1.5483119999999999</c:v>
                </c:pt>
                <c:pt idx="125">
                  <c:v>1.5522499999999999</c:v>
                </c:pt>
                <c:pt idx="126">
                  <c:v>1.5561879999999999</c:v>
                </c:pt>
                <c:pt idx="127">
                  <c:v>1.560125</c:v>
                </c:pt>
                <c:pt idx="128">
                  <c:v>1.563812</c:v>
                </c:pt>
                <c:pt idx="129">
                  <c:v>1.567625</c:v>
                </c:pt>
                <c:pt idx="130">
                  <c:v>1.571375</c:v>
                </c:pt>
                <c:pt idx="131">
                  <c:v>1.5749379999999999</c:v>
                </c:pt>
                <c:pt idx="132">
                  <c:v>1.5786880000000001</c:v>
                </c:pt>
                <c:pt idx="133">
                  <c:v>1.5820620000000001</c:v>
                </c:pt>
                <c:pt idx="134">
                  <c:v>1.5858749999999999</c:v>
                </c:pt>
                <c:pt idx="135">
                  <c:v>1.5894999999999999</c:v>
                </c:pt>
                <c:pt idx="136">
                  <c:v>1.592938</c:v>
                </c:pt>
                <c:pt idx="137">
                  <c:v>1.596563</c:v>
                </c:pt>
                <c:pt idx="138">
                  <c:v>1.5998749999999999</c:v>
                </c:pt>
                <c:pt idx="139">
                  <c:v>1.6034379999999999</c:v>
                </c:pt>
                <c:pt idx="140">
                  <c:v>1.606625</c:v>
                </c:pt>
                <c:pt idx="141">
                  <c:v>1.60975</c:v>
                </c:pt>
                <c:pt idx="142">
                  <c:v>1.6131880000000001</c:v>
                </c:pt>
                <c:pt idx="143">
                  <c:v>1.616438</c:v>
                </c:pt>
                <c:pt idx="144">
                  <c:v>1.6198129999999999</c:v>
                </c:pt>
                <c:pt idx="145">
                  <c:v>1.6228750000000001</c:v>
                </c:pt>
                <c:pt idx="146">
                  <c:v>1.6259380000000001</c:v>
                </c:pt>
                <c:pt idx="147">
                  <c:v>1.6292500000000001</c:v>
                </c:pt>
                <c:pt idx="148">
                  <c:v>1.6320619999999999</c:v>
                </c:pt>
                <c:pt idx="149">
                  <c:v>1.6354379999999999</c:v>
                </c:pt>
                <c:pt idx="150">
                  <c:v>1.6384380000000001</c:v>
                </c:pt>
                <c:pt idx="151">
                  <c:v>1.641438</c:v>
                </c:pt>
                <c:pt idx="152">
                  <c:v>1.6443129999999999</c:v>
                </c:pt>
                <c:pt idx="153">
                  <c:v>1.6473120000000001</c:v>
                </c:pt>
                <c:pt idx="154">
                  <c:v>1.65025</c:v>
                </c:pt>
                <c:pt idx="155">
                  <c:v>1.6532500000000001</c:v>
                </c:pt>
                <c:pt idx="156">
                  <c:v>1.6560619999999999</c:v>
                </c:pt>
                <c:pt idx="157">
                  <c:v>1.659125</c:v>
                </c:pt>
                <c:pt idx="158">
                  <c:v>1.6616880000000001</c:v>
                </c:pt>
                <c:pt idx="159">
                  <c:v>1.6646879999999999</c:v>
                </c:pt>
                <c:pt idx="160">
                  <c:v>1.6673750000000001</c:v>
                </c:pt>
                <c:pt idx="161">
                  <c:v>1.67</c:v>
                </c:pt>
                <c:pt idx="162">
                  <c:v>1.672812</c:v>
                </c:pt>
                <c:pt idx="163">
                  <c:v>1.675438</c:v>
                </c:pt>
                <c:pt idx="164">
                  <c:v>1.678188</c:v>
                </c:pt>
                <c:pt idx="165">
                  <c:v>1.680938</c:v>
                </c:pt>
                <c:pt idx="166">
                  <c:v>1.6836880000000001</c:v>
                </c:pt>
                <c:pt idx="167">
                  <c:v>1.686188</c:v>
                </c:pt>
                <c:pt idx="168">
                  <c:v>1.6888749999999999</c:v>
                </c:pt>
                <c:pt idx="169">
                  <c:v>1.6913119999999999</c:v>
                </c:pt>
                <c:pt idx="170">
                  <c:v>1.6937500000000001</c:v>
                </c:pt>
                <c:pt idx="171">
                  <c:v>1.696375</c:v>
                </c:pt>
                <c:pt idx="172">
                  <c:v>1.6988129999999999</c:v>
                </c:pt>
                <c:pt idx="173">
                  <c:v>1.7011879999999999</c:v>
                </c:pt>
                <c:pt idx="174">
                  <c:v>1.7036249999999999</c:v>
                </c:pt>
                <c:pt idx="175">
                  <c:v>1.7061249999999999</c:v>
                </c:pt>
                <c:pt idx="176">
                  <c:v>1.7086250000000001</c:v>
                </c:pt>
                <c:pt idx="177">
                  <c:v>1.7110620000000001</c:v>
                </c:pt>
                <c:pt idx="178">
                  <c:v>1.713625</c:v>
                </c:pt>
                <c:pt idx="179">
                  <c:v>1.716</c:v>
                </c:pt>
                <c:pt idx="180">
                  <c:v>1.7184379999999999</c:v>
                </c:pt>
                <c:pt idx="181">
                  <c:v>1.72075</c:v>
                </c:pt>
                <c:pt idx="182">
                  <c:v>1.7229380000000001</c:v>
                </c:pt>
                <c:pt idx="183">
                  <c:v>1.72525</c:v>
                </c:pt>
                <c:pt idx="184">
                  <c:v>1.7276879999999999</c:v>
                </c:pt>
                <c:pt idx="185">
                  <c:v>1.7302500000000001</c:v>
                </c:pt>
                <c:pt idx="186">
                  <c:v>1.7321880000000001</c:v>
                </c:pt>
                <c:pt idx="187">
                  <c:v>1.7345619999999999</c:v>
                </c:pt>
                <c:pt idx="188">
                  <c:v>1.7365619999999999</c:v>
                </c:pt>
                <c:pt idx="189">
                  <c:v>1.7386870000000001</c:v>
                </c:pt>
                <c:pt idx="190">
                  <c:v>1.74075</c:v>
                </c:pt>
                <c:pt idx="191">
                  <c:v>1.7430000000000001</c:v>
                </c:pt>
                <c:pt idx="192">
                  <c:v>1.7455000000000001</c:v>
                </c:pt>
                <c:pt idx="193">
                  <c:v>1.747563</c:v>
                </c:pt>
                <c:pt idx="194">
                  <c:v>1.7496879999999999</c:v>
                </c:pt>
                <c:pt idx="195">
                  <c:v>1.751625</c:v>
                </c:pt>
                <c:pt idx="196">
                  <c:v>1.7536879999999999</c:v>
                </c:pt>
                <c:pt idx="197">
                  <c:v>1.7556879999999999</c:v>
                </c:pt>
                <c:pt idx="198">
                  <c:v>1.7576879999999999</c:v>
                </c:pt>
                <c:pt idx="199">
                  <c:v>1.7596879999999999</c:v>
                </c:pt>
                <c:pt idx="200">
                  <c:v>1.7618119999999999</c:v>
                </c:pt>
                <c:pt idx="201">
                  <c:v>1.7636879999999999</c:v>
                </c:pt>
                <c:pt idx="202">
                  <c:v>1.765625</c:v>
                </c:pt>
                <c:pt idx="203">
                  <c:v>1.7673129999999999</c:v>
                </c:pt>
                <c:pt idx="204">
                  <c:v>1.7693749999999999</c:v>
                </c:pt>
                <c:pt idx="205">
                  <c:v>1.771188</c:v>
                </c:pt>
                <c:pt idx="206">
                  <c:v>1.773188</c:v>
                </c:pt>
                <c:pt idx="207">
                  <c:v>1.7750619999999999</c:v>
                </c:pt>
                <c:pt idx="208">
                  <c:v>1.7770619999999999</c:v>
                </c:pt>
                <c:pt idx="209">
                  <c:v>1.7789379999999999</c:v>
                </c:pt>
                <c:pt idx="210">
                  <c:v>1.780875</c:v>
                </c:pt>
                <c:pt idx="211">
                  <c:v>1.782562</c:v>
                </c:pt>
                <c:pt idx="212">
                  <c:v>1.784375</c:v>
                </c:pt>
                <c:pt idx="213">
                  <c:v>1.786125</c:v>
                </c:pt>
                <c:pt idx="214">
                  <c:v>1.787812</c:v>
                </c:pt>
                <c:pt idx="215">
                  <c:v>1.78975</c:v>
                </c:pt>
                <c:pt idx="216">
                  <c:v>1.791625</c:v>
                </c:pt>
                <c:pt idx="217">
                  <c:v>1.7933749999999999</c:v>
                </c:pt>
                <c:pt idx="218">
                  <c:v>1.7949999999999999</c:v>
                </c:pt>
                <c:pt idx="219">
                  <c:v>1.796813</c:v>
                </c:pt>
                <c:pt idx="220">
                  <c:v>1.798438</c:v>
                </c:pt>
                <c:pt idx="221">
                  <c:v>1.8002499999999999</c:v>
                </c:pt>
                <c:pt idx="222">
                  <c:v>1.801812</c:v>
                </c:pt>
                <c:pt idx="223">
                  <c:v>1.8035000000000001</c:v>
                </c:pt>
                <c:pt idx="224">
                  <c:v>1.8051250000000001</c:v>
                </c:pt>
                <c:pt idx="225">
                  <c:v>1.8066249999999999</c:v>
                </c:pt>
                <c:pt idx="226">
                  <c:v>1.8083119999999999</c:v>
                </c:pt>
                <c:pt idx="227">
                  <c:v>1.810125</c:v>
                </c:pt>
                <c:pt idx="228">
                  <c:v>1.811625</c:v>
                </c:pt>
                <c:pt idx="229">
                  <c:v>1.81325</c:v>
                </c:pt>
                <c:pt idx="230">
                  <c:v>1.8146880000000001</c:v>
                </c:pt>
                <c:pt idx="231">
                  <c:v>1.8164370000000001</c:v>
                </c:pt>
                <c:pt idx="232">
                  <c:v>1.818125</c:v>
                </c:pt>
                <c:pt idx="233">
                  <c:v>1.8194380000000001</c:v>
                </c:pt>
                <c:pt idx="234">
                  <c:v>1.8211250000000001</c:v>
                </c:pt>
                <c:pt idx="235">
                  <c:v>1.8225</c:v>
                </c:pt>
                <c:pt idx="236">
                  <c:v>1.8241879999999999</c:v>
                </c:pt>
                <c:pt idx="237">
                  <c:v>1.82575</c:v>
                </c:pt>
                <c:pt idx="238">
                  <c:v>1.827188</c:v>
                </c:pt>
                <c:pt idx="239">
                  <c:v>1.8286880000000001</c:v>
                </c:pt>
                <c:pt idx="240">
                  <c:v>1.8301879999999999</c:v>
                </c:pt>
                <c:pt idx="241">
                  <c:v>1.8318129999999999</c:v>
                </c:pt>
                <c:pt idx="242">
                  <c:v>1.83325</c:v>
                </c:pt>
                <c:pt idx="243">
                  <c:v>1.834438</c:v>
                </c:pt>
                <c:pt idx="244">
                  <c:v>1.8360000000000001</c:v>
                </c:pt>
                <c:pt idx="245">
                  <c:v>1.8375619999999999</c:v>
                </c:pt>
                <c:pt idx="246">
                  <c:v>1.838875</c:v>
                </c:pt>
                <c:pt idx="247">
                  <c:v>1.8403119999999999</c:v>
                </c:pt>
                <c:pt idx="248">
                  <c:v>1.8418749999999999</c:v>
                </c:pt>
                <c:pt idx="249">
                  <c:v>1.843313</c:v>
                </c:pt>
                <c:pt idx="250">
                  <c:v>1.844563</c:v>
                </c:pt>
                <c:pt idx="251">
                  <c:v>1.8459380000000001</c:v>
                </c:pt>
                <c:pt idx="252">
                  <c:v>1.8474999999999999</c:v>
                </c:pt>
                <c:pt idx="253">
                  <c:v>1.8488119999999999</c:v>
                </c:pt>
                <c:pt idx="254">
                  <c:v>1.85</c:v>
                </c:pt>
                <c:pt idx="255">
                  <c:v>1.851375</c:v>
                </c:pt>
                <c:pt idx="256">
                  <c:v>1.852625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35-424C-A033-C92B08FC7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62111"/>
        <c:axId val="1493662591"/>
      </c:scatterChart>
      <c:valAx>
        <c:axId val="149366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Digipot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62591"/>
        <c:crosses val="autoZero"/>
        <c:crossBetween val="midCat"/>
      </c:valAx>
      <c:valAx>
        <c:axId val="14936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Reference DC Offset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6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vs. Signal Conditioner Input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pH_sen_profile!$B$1</c:f>
              <c:strCache>
                <c:ptCount val="1"/>
                <c:pt idx="0">
                  <c:v>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0.5"/>
            <c:backward val="0.30000000000000004"/>
            <c:dispRSqr val="0"/>
            <c:dispEq val="1"/>
            <c:trendlineLbl>
              <c:layout>
                <c:manualLayout>
                  <c:x val="-0.24163518599764472"/>
                  <c:y val="0.18464589102732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pH_sen_profile!$A$2:$A$4</c:f>
              <c:numCache>
                <c:formatCode>General</c:formatCode>
                <c:ptCount val="3"/>
                <c:pt idx="1">
                  <c:v>2.5103040000000001</c:v>
                </c:pt>
                <c:pt idx="2">
                  <c:v>2.0964680000000002</c:v>
                </c:pt>
              </c:numCache>
            </c:numRef>
          </c:xVal>
          <c:yVal>
            <c:numRef>
              <c:f>pH_sen_profile!$B$2:$B$4</c:f>
              <c:numCache>
                <c:formatCode>General</c:formatCode>
                <c:ptCount val="3"/>
                <c:pt idx="1">
                  <c:v>7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A-4E23-AB22-C45198795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013840"/>
        <c:axId val="1755014320"/>
      </c:scatterChart>
      <c:valAx>
        <c:axId val="1755013840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</a:t>
                </a:r>
                <a:r>
                  <a:rPr lang="en-US" baseline="0"/>
                  <a:t> Conditioner Input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4320"/>
        <c:crosses val="autoZero"/>
        <c:crossBetween val="midCat"/>
      </c:valAx>
      <c:valAx>
        <c:axId val="17550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vs. RTD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RTD_Sen_Profile!$B$7:$B$9</c:f>
              <c:numCache>
                <c:formatCode>General</c:formatCode>
                <c:ptCount val="3"/>
                <c:pt idx="0">
                  <c:v>0.111541</c:v>
                </c:pt>
                <c:pt idx="1">
                  <c:v>0.119296</c:v>
                </c:pt>
                <c:pt idx="2">
                  <c:v>0.12665299999999999</c:v>
                </c:pt>
              </c:numCache>
            </c:numRef>
          </c:xVal>
          <c:yVal>
            <c:numRef>
              <c:f>RTD_Sen_Profile!$A$7:$A$9</c:f>
              <c:numCache>
                <c:formatCode>General</c:formatCode>
                <c:ptCount val="3"/>
                <c:pt idx="0">
                  <c:v>15.5</c:v>
                </c:pt>
                <c:pt idx="1">
                  <c:v>36</c:v>
                </c:pt>
                <c:pt idx="2">
                  <c:v>53.5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40-4A30-962D-FFB32CD8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96655"/>
        <c:axId val="1190452495"/>
      </c:scatterChart>
      <c:valAx>
        <c:axId val="11904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RTD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52495"/>
        <c:crosses val="autoZero"/>
        <c:crossBetween val="midCat"/>
      </c:valAx>
      <c:valAx>
        <c:axId val="11904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Temperature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9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RTD</a:t>
            </a:r>
            <a:r>
              <a:rPr lang="en-US" baseline="0"/>
              <a:t> Temperature Measurement vs. Input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RTD_Sen_Profile!$C$1</c:f>
              <c:strCache>
                <c:ptCount val="1"/>
                <c:pt idx="0">
                  <c:v>RTD Temperature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RTD_Sen_Profile!$B$2:$B$4</c:f>
              <c:numCache>
                <c:formatCode>0.000000</c:formatCode>
                <c:ptCount val="3"/>
                <c:pt idx="0" formatCode="General">
                  <c:v>0.108385</c:v>
                </c:pt>
                <c:pt idx="1">
                  <c:v>0.115837</c:v>
                </c:pt>
                <c:pt idx="2" formatCode="General">
                  <c:v>0.14493400000000001</c:v>
                </c:pt>
              </c:numCache>
            </c:numRef>
          </c:xVal>
          <c:yVal>
            <c:numRef>
              <c:f>RTD_Sen_Profile!$C$2:$C$4</c:f>
              <c:numCache>
                <c:formatCode>0.00</c:formatCode>
                <c:ptCount val="3"/>
                <c:pt idx="0">
                  <c:v>10.607748888797541</c:v>
                </c:pt>
                <c:pt idx="1">
                  <c:v>29.474199419494305</c:v>
                </c:pt>
                <c:pt idx="2">
                  <c:v>104.74782049961824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5-4412-8B22-10287B7C2F08}"/>
            </c:ext>
          </c:extLst>
        </c:ser>
        <c:ser>
          <c:idx val="1"/>
          <c:order val="1"/>
          <c:tx>
            <c:strRef>
              <c:f>RTD_Sen_Profile!$A$1</c:f>
              <c:strCache>
                <c:ptCount val="1"/>
                <c:pt idx="0">
                  <c:v>Actual Temperature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RTD_Sen_Profile!$B$2:$B$4</c:f>
              <c:numCache>
                <c:formatCode>0.000000</c:formatCode>
                <c:ptCount val="3"/>
                <c:pt idx="0" formatCode="General">
                  <c:v>0.108385</c:v>
                </c:pt>
                <c:pt idx="1">
                  <c:v>0.115837</c:v>
                </c:pt>
                <c:pt idx="2" formatCode="General">
                  <c:v>0.14493400000000001</c:v>
                </c:pt>
              </c:numCache>
            </c:numRef>
          </c:xVal>
          <c:yVal>
            <c:numRef>
              <c:f>RTD_Sen_Profile!$A$2:$A$4</c:f>
              <c:numCache>
                <c:formatCode>General</c:formatCode>
                <c:ptCount val="3"/>
                <c:pt idx="0">
                  <c:v>3.5</c:v>
                </c:pt>
                <c:pt idx="1">
                  <c:v>20.7</c:v>
                </c:pt>
                <c:pt idx="2">
                  <c:v>94.4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5-4412-8B22-10287B7C2F08}"/>
            </c:ext>
          </c:extLst>
        </c:ser>
        <c:ser>
          <c:idx val="2"/>
          <c:order val="2"/>
          <c:tx>
            <c:strRef>
              <c:f>RTD_Sen_Profile!$H$1</c:f>
              <c:strCache>
                <c:ptCount val="1"/>
                <c:pt idx="0">
                  <c:v>Adj. Temp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218863169902752"/>
                  <c:y val="-1.61690663217102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RTD_Sen_Profile!$B$2:$B$4</c:f>
              <c:numCache>
                <c:formatCode>0.000000</c:formatCode>
                <c:ptCount val="3"/>
                <c:pt idx="0" formatCode="General">
                  <c:v>0.108385</c:v>
                </c:pt>
                <c:pt idx="1">
                  <c:v>0.115837</c:v>
                </c:pt>
                <c:pt idx="2" formatCode="General">
                  <c:v>0.14493400000000001</c:v>
                </c:pt>
              </c:numCache>
            </c:numRef>
          </c:xVal>
          <c:yVal>
            <c:numRef>
              <c:f>RTD_Sen_Profile!$H$2:$H$4</c:f>
              <c:numCache>
                <c:formatCode>0.00</c:formatCode>
                <c:ptCount val="3"/>
                <c:pt idx="0">
                  <c:v>2.8072260722451223</c:v>
                </c:pt>
                <c:pt idx="1">
                  <c:v>21.605985195096334</c:v>
                </c:pt>
                <c:pt idx="2">
                  <c:v>96.602813769209789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25-4412-8B22-10287B7C2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000607"/>
        <c:axId val="879984767"/>
      </c:scatterChart>
      <c:valAx>
        <c:axId val="880000607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RTD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984767"/>
        <c:crosses val="autoZero"/>
        <c:crossBetween val="midCat"/>
      </c:valAx>
      <c:valAx>
        <c:axId val="8799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00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Turb_Sen_Profile!$A$1</c:f>
              <c:strCache>
                <c:ptCount val="1"/>
                <c:pt idx="0">
                  <c:v>Actual Turbidity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690300175360176E-2"/>
                  <c:y val="-0.54011472899549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Turb_Sen_Profile!$B$2:$B$7</c:f>
              <c:numCache>
                <c:formatCode>General</c:formatCode>
                <c:ptCount val="6"/>
                <c:pt idx="0">
                  <c:v>4.1188000000000002</c:v>
                </c:pt>
                <c:pt idx="1">
                  <c:v>4.1154000000000002</c:v>
                </c:pt>
                <c:pt idx="2">
                  <c:v>4.0922000000000001</c:v>
                </c:pt>
                <c:pt idx="3">
                  <c:v>4.0467000000000004</c:v>
                </c:pt>
                <c:pt idx="4">
                  <c:v>3.9956999999999998</c:v>
                </c:pt>
                <c:pt idx="5">
                  <c:v>3.9001999999999999</c:v>
                </c:pt>
              </c:numCache>
            </c:numRef>
          </c:xVal>
          <c:yVal>
            <c:numRef>
              <c:f>Turb_Sen_Profile!$A$2:$A$7</c:f>
              <c:numCache>
                <c:formatCode>General</c:formatCode>
                <c:ptCount val="6"/>
                <c:pt idx="0">
                  <c:v>0.2</c:v>
                </c:pt>
                <c:pt idx="1">
                  <c:v>7</c:v>
                </c:pt>
                <c:pt idx="2">
                  <c:v>27</c:v>
                </c:pt>
                <c:pt idx="3">
                  <c:v>60</c:v>
                </c:pt>
                <c:pt idx="4">
                  <c:v>140</c:v>
                </c:pt>
                <c:pt idx="5">
                  <c:v>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43-42F3-856D-272576A0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54447"/>
        <c:axId val="801618447"/>
      </c:scatterChart>
      <c:valAx>
        <c:axId val="80165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18447"/>
        <c:crosses val="autoZero"/>
        <c:crossBetween val="midCat"/>
      </c:valAx>
      <c:valAx>
        <c:axId val="80161844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5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Sensor</a:t>
            </a:r>
            <a:r>
              <a:rPr lang="en-US" baseline="0"/>
              <a:t> Measurement vs. Analog Voltage Input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409298727688365"/>
                  <c:y val="-0.29546970122559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Turb_Sen_Profile!$A$2:$A$7</c:f>
              <c:numCache>
                <c:formatCode>General</c:formatCode>
                <c:ptCount val="6"/>
                <c:pt idx="0">
                  <c:v>0.2</c:v>
                </c:pt>
                <c:pt idx="1">
                  <c:v>7</c:v>
                </c:pt>
                <c:pt idx="2">
                  <c:v>27</c:v>
                </c:pt>
                <c:pt idx="3">
                  <c:v>60</c:v>
                </c:pt>
                <c:pt idx="4">
                  <c:v>140</c:v>
                </c:pt>
                <c:pt idx="5">
                  <c:v>330</c:v>
                </c:pt>
              </c:numCache>
            </c:numRef>
          </c:xVal>
          <c:yVal>
            <c:numRef>
              <c:f>Turb_Sen_Profile!$B$2:$B$7</c:f>
              <c:numCache>
                <c:formatCode>General</c:formatCode>
                <c:ptCount val="6"/>
                <c:pt idx="0">
                  <c:v>4.1188000000000002</c:v>
                </c:pt>
                <c:pt idx="1">
                  <c:v>4.1154000000000002</c:v>
                </c:pt>
                <c:pt idx="2">
                  <c:v>4.0922000000000001</c:v>
                </c:pt>
                <c:pt idx="3">
                  <c:v>4.0467000000000004</c:v>
                </c:pt>
                <c:pt idx="4">
                  <c:v>3.9956999999999998</c:v>
                </c:pt>
                <c:pt idx="5">
                  <c:v>3.9001999999999999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4-4294-8EF3-ACBCA69A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80448"/>
        <c:axId val="438791968"/>
      </c:scatterChart>
      <c:valAx>
        <c:axId val="4387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1968"/>
        <c:crosses val="autoZero"/>
        <c:crossBetween val="midCat"/>
      </c:valAx>
      <c:valAx>
        <c:axId val="4387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32D397-2B21-47FD-AEF8-BD0FC8342E07}">
  <sheetPr/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E9E1D9-B66F-4143-9E48-89D7DD06EC4C}">
  <sheetPr/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2EECEC-033F-4283-BAE4-70ACEC0CC5E8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B3807F-015F-42F8-AB75-149F5A271691}">
  <sheetPr/>
  <sheetViews>
    <sheetView zoomScale="8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3140E7-8124-4DA5-981E-F43BD568423C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D62CEE-7948-48BA-9681-B24C4D9B309C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C6AD80-CDEA-448A-8763-687477AABD52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ECADF0-2141-46A3-A0BA-EA9C01BB5A89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24882" cy="78553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4B954-A6F6-4967-434B-C07C960CB6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24882" cy="78553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46FCE-B13B-3FD8-0827-6C7A1CBCD5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820843" cy="7852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29B28-9196-CE9B-C49D-CF8A8881AA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821865" cy="7854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573FF-1595-657F-E224-40278D3103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C34E8-47B6-F989-C347-73E8866CCF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EA422-9949-2273-A64A-CEADCBCA2E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338137</xdr:colOff>
      <xdr:row>5</xdr:row>
      <xdr:rowOff>7621</xdr:rowOff>
    </xdr:from>
    <xdr:to>
      <xdr:col>8</xdr:col>
      <xdr:colOff>261937</xdr:colOff>
      <xdr:row>25</xdr:row>
      <xdr:rowOff>176213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2C9DF8-DAAA-7AF9-75EC-6A4ECC32D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E1A4E-BDD1-FFEC-E3D5-1C1F9CC3EC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8</xdr:row>
      <xdr:rowOff>19050</xdr:rowOff>
    </xdr:from>
    <xdr:to>
      <xdr:col>14</xdr:col>
      <xdr:colOff>53340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E7CCD-BBE6-4E15-F1BD-FC7E09DCB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525F2-F0D1-55D3-0C0B-E794D582A2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01D8-AA87-441D-8BC0-980F1C693247}">
  <dimension ref="A1:O258"/>
  <sheetViews>
    <sheetView topLeftCell="A199" zoomScaleNormal="100" workbookViewId="0">
      <selection activeCell="D207" sqref="D207"/>
    </sheetView>
  </sheetViews>
  <sheetFormatPr defaultRowHeight="14.4" x14ac:dyDescent="0.3"/>
  <cols>
    <col min="8" max="8" width="9.109375" customWidth="1"/>
    <col min="9" max="9" width="24.5546875" bestFit="1" customWidth="1"/>
    <col min="11" max="11" width="33.21875" bestFit="1" customWidth="1"/>
    <col min="12" max="12" width="14.109375" bestFit="1" customWidth="1"/>
    <col min="13" max="13" width="11.33203125" bestFit="1" customWidth="1"/>
    <col min="14" max="14" width="11.109375" bestFit="1" customWidth="1"/>
    <col min="15" max="15" width="21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3</v>
      </c>
      <c r="G1" t="s">
        <v>4</v>
      </c>
      <c r="H1" t="s">
        <v>16</v>
      </c>
      <c r="I1" t="s">
        <v>18</v>
      </c>
      <c r="J1" t="s">
        <v>19</v>
      </c>
      <c r="K1" t="s">
        <v>17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3">
      <c r="A2">
        <v>0</v>
      </c>
      <c r="B2">
        <v>2.5119999999999999E-3</v>
      </c>
      <c r="C2">
        <v>0</v>
      </c>
      <c r="D2">
        <v>0</v>
      </c>
      <c r="E2">
        <v>0</v>
      </c>
      <c r="F2">
        <v>1.6438000000000001E-2</v>
      </c>
      <c r="G2">
        <v>1.6500000000000001E-2</v>
      </c>
      <c r="H2">
        <f>(50000 / 256) *A2</f>
        <v>0</v>
      </c>
      <c r="I2" s="4">
        <v>0</v>
      </c>
      <c r="J2" s="4">
        <v>0</v>
      </c>
      <c r="K2" s="4">
        <v>0</v>
      </c>
      <c r="L2">
        <f>(A2/256) * 5</f>
        <v>0</v>
      </c>
      <c r="M2" s="4">
        <v>0</v>
      </c>
      <c r="N2" s="4">
        <v>0</v>
      </c>
      <c r="O2" s="4">
        <v>0</v>
      </c>
    </row>
    <row r="3" spans="1:15" x14ac:dyDescent="0.3">
      <c r="A3">
        <v>1</v>
      </c>
      <c r="B3">
        <v>2.2516000000000001E-2</v>
      </c>
      <c r="C3">
        <v>1.9696000000000002E-2</v>
      </c>
      <c r="D3">
        <v>207.46553</v>
      </c>
      <c r="E3">
        <v>424.94957399999998</v>
      </c>
      <c r="F3">
        <v>1.6562E-2</v>
      </c>
      <c r="G3">
        <v>5.4438E-2</v>
      </c>
      <c r="H3">
        <f t="shared" ref="H3:H66" si="0">(50000 / 256) *A3</f>
        <v>195.3125</v>
      </c>
      <c r="I3" s="4">
        <f>(D3-$H3)/$H3</f>
        <v>6.2223513600000009E-2</v>
      </c>
      <c r="J3" s="4">
        <f>(E3-$H3)/$H3</f>
        <v>1.17574181888</v>
      </c>
      <c r="K3" s="4">
        <f t="shared" ref="K3:K66" si="1">(E3-D3)/D3</f>
        <v>1.0482900171416427</v>
      </c>
      <c r="L3">
        <f t="shared" ref="L3:L66" si="2">(A3/256) * 5</f>
        <v>1.953125E-2</v>
      </c>
      <c r="M3" s="4">
        <f t="shared" ref="M3:M66" si="3">(B3-L3)/L3</f>
        <v>0.15281920000000007</v>
      </c>
      <c r="N3" s="4">
        <f t="shared" ref="N3:N66" si="4">(C3-L3)/L3</f>
        <v>8.4352000000000871E-3</v>
      </c>
      <c r="O3" s="4">
        <f t="shared" ref="O3:O66" si="5">(C3-B3)/B3</f>
        <v>-0.12524427074080652</v>
      </c>
    </row>
    <row r="4" spans="1:15" x14ac:dyDescent="0.3">
      <c r="A4">
        <v>2</v>
      </c>
      <c r="B4">
        <v>4.2742000000000002E-2</v>
      </c>
      <c r="C4">
        <v>3.9613000000000002E-2</v>
      </c>
      <c r="D4">
        <v>344.77826099999999</v>
      </c>
      <c r="E4">
        <v>518.14795100000003</v>
      </c>
      <c r="F4">
        <v>1.6625000000000001E-2</v>
      </c>
      <c r="G4">
        <v>9.0874999999999997E-2</v>
      </c>
      <c r="H4">
        <f t="shared" si="0"/>
        <v>390.625</v>
      </c>
      <c r="I4" s="4">
        <f t="shared" ref="I4:I67" si="6">(D4-$H4)/$H4</f>
        <v>-0.11736765184000003</v>
      </c>
      <c r="J4" s="4">
        <f t="shared" ref="J4:J67" si="7">(E4-$H4)/$H4</f>
        <v>0.32645875456000006</v>
      </c>
      <c r="K4" s="4">
        <f t="shared" si="1"/>
        <v>0.50284402936877759</v>
      </c>
      <c r="L4">
        <f t="shared" si="2"/>
        <v>3.90625E-2</v>
      </c>
      <c r="M4" s="4">
        <f t="shared" si="3"/>
        <v>9.4195200000000062E-2</v>
      </c>
      <c r="N4" s="4">
        <f t="shared" si="4"/>
        <v>1.4092800000000062E-2</v>
      </c>
      <c r="O4" s="4">
        <f t="shared" si="5"/>
        <v>-7.3206681952178179E-2</v>
      </c>
    </row>
    <row r="5" spans="1:15" x14ac:dyDescent="0.3">
      <c r="A5">
        <v>3</v>
      </c>
      <c r="B5">
        <v>6.2525999999999998E-2</v>
      </c>
      <c r="C5">
        <v>5.9662E-2</v>
      </c>
      <c r="D5">
        <v>413.13792699999999</v>
      </c>
      <c r="E5">
        <v>657.11752799999999</v>
      </c>
      <c r="F5">
        <v>1.6750000000000001E-2</v>
      </c>
      <c r="G5">
        <v>0.12612499999999999</v>
      </c>
      <c r="H5">
        <f t="shared" si="0"/>
        <v>585.9375</v>
      </c>
      <c r="I5" s="4">
        <f t="shared" si="6"/>
        <v>-0.29491127125333333</v>
      </c>
      <c r="J5" s="4">
        <f t="shared" si="7"/>
        <v>0.12148058111999999</v>
      </c>
      <c r="K5" s="4">
        <f t="shared" si="1"/>
        <v>0.59055241616681686</v>
      </c>
      <c r="L5">
        <f t="shared" si="2"/>
        <v>5.859375E-2</v>
      </c>
      <c r="M5" s="4">
        <f t="shared" si="3"/>
        <v>6.7110399999999973E-2</v>
      </c>
      <c r="N5" s="4">
        <f t="shared" si="4"/>
        <v>1.8231466666666661E-2</v>
      </c>
      <c r="O5" s="4">
        <f t="shared" si="5"/>
        <v>-4.5804945142820561E-2</v>
      </c>
    </row>
    <row r="6" spans="1:15" x14ac:dyDescent="0.3">
      <c r="A6">
        <v>4</v>
      </c>
      <c r="B6">
        <v>8.2707000000000003E-2</v>
      </c>
      <c r="C6">
        <v>7.9578999999999997E-2</v>
      </c>
      <c r="D6">
        <v>752.00320299999998</v>
      </c>
      <c r="E6">
        <v>749.21648700000003</v>
      </c>
      <c r="F6">
        <v>1.6938000000000002E-2</v>
      </c>
      <c r="G6">
        <v>0.16056200000000001</v>
      </c>
      <c r="H6">
        <f t="shared" si="0"/>
        <v>781.25</v>
      </c>
      <c r="I6" s="4">
        <f t="shared" si="6"/>
        <v>-3.7435900160000021E-2</v>
      </c>
      <c r="J6" s="4">
        <f t="shared" si="7"/>
        <v>-4.100289663999996E-2</v>
      </c>
      <c r="K6" s="4">
        <f t="shared" si="1"/>
        <v>-3.7057235778820957E-3</v>
      </c>
      <c r="L6">
        <f t="shared" si="2"/>
        <v>7.8125E-2</v>
      </c>
      <c r="M6" s="4">
        <f t="shared" si="3"/>
        <v>5.8649600000000038E-2</v>
      </c>
      <c r="N6" s="4">
        <f t="shared" si="4"/>
        <v>1.861119999999996E-2</v>
      </c>
      <c r="O6" s="4">
        <f t="shared" si="5"/>
        <v>-3.7820257052002919E-2</v>
      </c>
    </row>
    <row r="7" spans="1:15" x14ac:dyDescent="0.3">
      <c r="A7">
        <v>5</v>
      </c>
      <c r="B7">
        <v>0.102712</v>
      </c>
      <c r="C7">
        <v>9.9539000000000002E-2</v>
      </c>
      <c r="D7">
        <v>819.19551200000001</v>
      </c>
      <c r="E7">
        <v>886.55152099999998</v>
      </c>
      <c r="F7">
        <v>1.7187999999999998E-2</v>
      </c>
      <c r="G7">
        <v>0.19356200000000001</v>
      </c>
      <c r="H7">
        <f t="shared" si="0"/>
        <v>976.5625</v>
      </c>
      <c r="I7" s="4">
        <f t="shared" si="6"/>
        <v>-0.16114379571199999</v>
      </c>
      <c r="J7" s="4">
        <f t="shared" si="7"/>
        <v>-9.2171242496000019E-2</v>
      </c>
      <c r="K7" s="4">
        <f t="shared" si="1"/>
        <v>8.2222141129112983E-2</v>
      </c>
      <c r="L7">
        <f t="shared" si="2"/>
        <v>9.765625E-2</v>
      </c>
      <c r="M7" s="4">
        <f t="shared" si="3"/>
        <v>5.1770879999999977E-2</v>
      </c>
      <c r="N7" s="4">
        <f t="shared" si="4"/>
        <v>1.9279360000000027E-2</v>
      </c>
      <c r="O7" s="4">
        <f t="shared" si="5"/>
        <v>-3.0892203442635675E-2</v>
      </c>
    </row>
    <row r="8" spans="1:15" x14ac:dyDescent="0.3">
      <c r="A8">
        <v>6</v>
      </c>
      <c r="B8">
        <v>0.122849</v>
      </c>
      <c r="C8">
        <v>0.11945600000000001</v>
      </c>
      <c r="D8">
        <v>953.00600099999997</v>
      </c>
      <c r="E8">
        <v>977.57040199999994</v>
      </c>
      <c r="F8">
        <v>1.7312000000000001E-2</v>
      </c>
      <c r="G8">
        <v>0.22575000000000001</v>
      </c>
      <c r="H8">
        <f t="shared" si="0"/>
        <v>1171.875</v>
      </c>
      <c r="I8" s="4">
        <f t="shared" si="6"/>
        <v>-0.18676821248000003</v>
      </c>
      <c r="J8" s="4">
        <f t="shared" si="7"/>
        <v>-0.16580659029333339</v>
      </c>
      <c r="K8" s="4">
        <f t="shared" si="1"/>
        <v>2.5775704428119311E-2</v>
      </c>
      <c r="L8">
        <f t="shared" si="2"/>
        <v>0.1171875</v>
      </c>
      <c r="M8" s="4">
        <f t="shared" si="3"/>
        <v>4.8311466666666664E-2</v>
      </c>
      <c r="N8" s="4">
        <f t="shared" si="4"/>
        <v>1.9357866666666723E-2</v>
      </c>
      <c r="O8" s="4">
        <f t="shared" si="5"/>
        <v>-2.7619272440150049E-2</v>
      </c>
    </row>
    <row r="9" spans="1:15" x14ac:dyDescent="0.3">
      <c r="A9">
        <v>7</v>
      </c>
      <c r="B9">
        <v>0.142766</v>
      </c>
      <c r="C9">
        <v>0.139373</v>
      </c>
      <c r="D9">
        <v>1152.298622</v>
      </c>
      <c r="E9">
        <v>1068.162564</v>
      </c>
      <c r="F9">
        <v>1.7375000000000002E-2</v>
      </c>
      <c r="G9">
        <v>0.25693700000000003</v>
      </c>
      <c r="H9">
        <f t="shared" si="0"/>
        <v>1367.1875</v>
      </c>
      <c r="I9" s="4">
        <f t="shared" si="6"/>
        <v>-0.15717586505142855</v>
      </c>
      <c r="J9" s="4">
        <f t="shared" si="7"/>
        <v>-0.21871538176000002</v>
      </c>
      <c r="K9" s="4">
        <f t="shared" si="1"/>
        <v>-7.3015845366514759E-2</v>
      </c>
      <c r="L9">
        <f t="shared" si="2"/>
        <v>0.13671875</v>
      </c>
      <c r="M9" s="4">
        <f t="shared" si="3"/>
        <v>4.4231314285714314E-2</v>
      </c>
      <c r="N9" s="4">
        <f t="shared" si="4"/>
        <v>1.9413942857142836E-2</v>
      </c>
      <c r="O9" s="4">
        <f t="shared" si="5"/>
        <v>-2.3766162811874023E-2</v>
      </c>
    </row>
    <row r="10" spans="1:15" x14ac:dyDescent="0.3">
      <c r="A10">
        <v>8</v>
      </c>
      <c r="B10">
        <v>0.16215299999999999</v>
      </c>
      <c r="C10">
        <v>0.159774</v>
      </c>
      <c r="D10">
        <v>1218.3532230000001</v>
      </c>
      <c r="E10">
        <v>1203.2572540000001</v>
      </c>
      <c r="F10">
        <v>1.7562000000000001E-2</v>
      </c>
      <c r="G10">
        <v>0.28625</v>
      </c>
      <c r="H10">
        <f t="shared" si="0"/>
        <v>1562.5</v>
      </c>
      <c r="I10" s="4">
        <f t="shared" si="6"/>
        <v>-0.22025393727999995</v>
      </c>
      <c r="J10" s="4">
        <f t="shared" si="7"/>
        <v>-0.22991535743999994</v>
      </c>
      <c r="K10" s="4">
        <f t="shared" si="1"/>
        <v>-1.2390469951586418E-2</v>
      </c>
      <c r="L10">
        <f t="shared" si="2"/>
        <v>0.15625</v>
      </c>
      <c r="M10" s="4">
        <f t="shared" si="3"/>
        <v>3.7779199999999943E-2</v>
      </c>
      <c r="N10" s="4">
        <f t="shared" si="4"/>
        <v>2.2553599999999997E-2</v>
      </c>
      <c r="O10" s="4">
        <f t="shared" si="5"/>
        <v>-1.4671328930084503E-2</v>
      </c>
    </row>
    <row r="11" spans="1:15" x14ac:dyDescent="0.3">
      <c r="A11">
        <v>9</v>
      </c>
      <c r="B11">
        <v>0.18229000000000001</v>
      </c>
      <c r="C11">
        <v>0.17982300000000001</v>
      </c>
      <c r="D11">
        <v>1610.7854460000001</v>
      </c>
      <c r="E11">
        <v>1337.4085439999999</v>
      </c>
      <c r="F11">
        <v>1.7812999999999999E-2</v>
      </c>
      <c r="G11">
        <v>0.3155</v>
      </c>
      <c r="H11">
        <f t="shared" si="0"/>
        <v>1757.8125</v>
      </c>
      <c r="I11" s="4">
        <f t="shared" si="6"/>
        <v>-8.3642057386666607E-2</v>
      </c>
      <c r="J11" s="4">
        <f t="shared" si="7"/>
        <v>-0.23916313941333339</v>
      </c>
      <c r="K11" s="4">
        <f t="shared" si="1"/>
        <v>-0.16971652101703941</v>
      </c>
      <c r="L11">
        <f t="shared" si="2"/>
        <v>0.17578125</v>
      </c>
      <c r="M11" s="4">
        <f t="shared" si="3"/>
        <v>3.7027555555555598E-2</v>
      </c>
      <c r="N11" s="4">
        <f t="shared" si="4"/>
        <v>2.2993066666666728E-2</v>
      </c>
      <c r="O11" s="4">
        <f t="shared" si="5"/>
        <v>-1.353338087662514E-2</v>
      </c>
    </row>
    <row r="12" spans="1:15" x14ac:dyDescent="0.3">
      <c r="A12">
        <v>10</v>
      </c>
      <c r="B12">
        <v>0.202207</v>
      </c>
      <c r="C12">
        <v>0.19978399999999999</v>
      </c>
      <c r="D12">
        <v>1610.7854460000001</v>
      </c>
      <c r="E12">
        <v>1426.3234970000001</v>
      </c>
      <c r="F12">
        <v>1.7999999999999999E-2</v>
      </c>
      <c r="G12">
        <v>0.34393800000000002</v>
      </c>
      <c r="H12">
        <f t="shared" si="0"/>
        <v>1953.125</v>
      </c>
      <c r="I12" s="4">
        <f t="shared" si="6"/>
        <v>-0.17527785164799994</v>
      </c>
      <c r="J12" s="4">
        <f t="shared" si="7"/>
        <v>-0.26972236953599993</v>
      </c>
      <c r="K12" s="4">
        <f t="shared" si="1"/>
        <v>-0.1145167715899514</v>
      </c>
      <c r="L12">
        <f t="shared" si="2"/>
        <v>0.1953125</v>
      </c>
      <c r="M12" s="4">
        <f t="shared" si="3"/>
        <v>3.5299839999999992E-2</v>
      </c>
      <c r="N12" s="4">
        <f t="shared" si="4"/>
        <v>2.2894079999999945E-2</v>
      </c>
      <c r="O12" s="4">
        <f t="shared" si="5"/>
        <v>-1.198277013159786E-2</v>
      </c>
    </row>
    <row r="13" spans="1:15" x14ac:dyDescent="0.3">
      <c r="A13">
        <v>11</v>
      </c>
      <c r="B13">
        <v>0.22221199999999999</v>
      </c>
      <c r="C13">
        <v>0.21974399999999999</v>
      </c>
      <c r="D13">
        <v>1804.5323960000001</v>
      </c>
      <c r="E13">
        <v>1646.8145119999999</v>
      </c>
      <c r="F13">
        <v>1.8124999999999999E-2</v>
      </c>
      <c r="G13">
        <v>0.37175000000000002</v>
      </c>
      <c r="H13">
        <f t="shared" si="0"/>
        <v>2148.4375</v>
      </c>
      <c r="I13" s="4">
        <f t="shared" si="6"/>
        <v>-0.16007219386181815</v>
      </c>
      <c r="J13" s="4">
        <f t="shared" si="7"/>
        <v>-0.23348269986909095</v>
      </c>
      <c r="K13" s="4">
        <f t="shared" si="1"/>
        <v>-8.7400971215370812E-2</v>
      </c>
      <c r="L13">
        <f t="shared" si="2"/>
        <v>0.21484375</v>
      </c>
      <c r="M13" s="4">
        <f t="shared" si="3"/>
        <v>3.4295854545454516E-2</v>
      </c>
      <c r="N13" s="4">
        <f t="shared" si="4"/>
        <v>2.2808436363636341E-2</v>
      </c>
      <c r="O13" s="4">
        <f t="shared" si="5"/>
        <v>-1.1106510899501367E-2</v>
      </c>
    </row>
    <row r="14" spans="1:15" x14ac:dyDescent="0.3">
      <c r="A14">
        <v>12</v>
      </c>
      <c r="B14">
        <v>0.24234900000000001</v>
      </c>
      <c r="C14">
        <v>0.239485</v>
      </c>
      <c r="D14">
        <v>2187.1906789999998</v>
      </c>
      <c r="E14">
        <v>1646.8145119999999</v>
      </c>
      <c r="F14">
        <v>1.8249999999999999E-2</v>
      </c>
      <c r="G14">
        <v>0.39874999999999999</v>
      </c>
      <c r="H14">
        <f t="shared" si="0"/>
        <v>2343.75</v>
      </c>
      <c r="I14" s="4">
        <f t="shared" si="6"/>
        <v>-6.6798643626666751E-2</v>
      </c>
      <c r="J14" s="4">
        <f t="shared" si="7"/>
        <v>-0.29735914154666671</v>
      </c>
      <c r="K14" s="4">
        <f t="shared" si="1"/>
        <v>-0.24706404072966515</v>
      </c>
      <c r="L14">
        <f t="shared" si="2"/>
        <v>0.234375</v>
      </c>
      <c r="M14" s="4">
        <f t="shared" si="3"/>
        <v>3.4022400000000036E-2</v>
      </c>
      <c r="N14" s="4">
        <f t="shared" si="4"/>
        <v>2.1802666666666682E-2</v>
      </c>
      <c r="O14" s="4">
        <f t="shared" si="5"/>
        <v>-1.1817667908677177E-2</v>
      </c>
    </row>
    <row r="15" spans="1:15" x14ac:dyDescent="0.3">
      <c r="A15">
        <v>13</v>
      </c>
      <c r="B15">
        <v>0.262266</v>
      </c>
      <c r="C15">
        <v>0.25944600000000001</v>
      </c>
      <c r="D15">
        <v>2376.142077</v>
      </c>
      <c r="E15">
        <v>1777.8914990000001</v>
      </c>
      <c r="F15">
        <v>1.8438E-2</v>
      </c>
      <c r="G15">
        <v>0.42481200000000002</v>
      </c>
      <c r="H15">
        <f t="shared" si="0"/>
        <v>2539.0625</v>
      </c>
      <c r="I15" s="4">
        <f t="shared" si="6"/>
        <v>-6.4165581981538475E-2</v>
      </c>
      <c r="J15" s="4">
        <f t="shared" si="7"/>
        <v>-0.29978427116307688</v>
      </c>
      <c r="K15" s="4">
        <f t="shared" si="1"/>
        <v>-0.25177390855151288</v>
      </c>
      <c r="L15">
        <f t="shared" si="2"/>
        <v>0.25390625</v>
      </c>
      <c r="M15" s="4">
        <f t="shared" si="3"/>
        <v>3.2924553846153844E-2</v>
      </c>
      <c r="N15" s="4">
        <f t="shared" si="4"/>
        <v>2.1818092307692348E-2</v>
      </c>
      <c r="O15" s="4">
        <f t="shared" si="5"/>
        <v>-1.0752442177026337E-2</v>
      </c>
    </row>
    <row r="16" spans="1:15" x14ac:dyDescent="0.3">
      <c r="A16">
        <v>14</v>
      </c>
      <c r="B16">
        <v>0.28235900000000003</v>
      </c>
      <c r="C16">
        <v>0.27953800000000001</v>
      </c>
      <c r="D16">
        <v>2563.5344700000001</v>
      </c>
      <c r="E16">
        <v>2037.349649</v>
      </c>
      <c r="F16">
        <v>1.8688E-2</v>
      </c>
      <c r="G16">
        <v>0.45006299999999999</v>
      </c>
      <c r="H16">
        <f t="shared" si="0"/>
        <v>2734.375</v>
      </c>
      <c r="I16" s="4">
        <f t="shared" si="6"/>
        <v>-6.2478822399999981E-2</v>
      </c>
      <c r="J16" s="4">
        <f t="shared" si="7"/>
        <v>-0.25491212836571431</v>
      </c>
      <c r="K16" s="4">
        <f t="shared" si="1"/>
        <v>-0.20525755637684093</v>
      </c>
      <c r="L16">
        <f t="shared" si="2"/>
        <v>0.2734375</v>
      </c>
      <c r="M16" s="4">
        <f t="shared" si="3"/>
        <v>3.2627200000000099E-2</v>
      </c>
      <c r="N16" s="4">
        <f t="shared" si="4"/>
        <v>2.2310400000000032E-2</v>
      </c>
      <c r="O16" s="4">
        <f t="shared" si="5"/>
        <v>-9.9908272801646752E-3</v>
      </c>
    </row>
    <row r="17" spans="1:15" x14ac:dyDescent="0.3">
      <c r="A17">
        <v>15</v>
      </c>
      <c r="B17">
        <v>0.30240699999999998</v>
      </c>
      <c r="C17">
        <v>0.29941099999999998</v>
      </c>
      <c r="D17">
        <v>2625.6554860000001</v>
      </c>
      <c r="E17">
        <v>2080.2472029999999</v>
      </c>
      <c r="F17">
        <v>1.8811999999999999E-2</v>
      </c>
      <c r="G17">
        <v>0.47493800000000003</v>
      </c>
      <c r="H17">
        <f t="shared" si="0"/>
        <v>2929.6875</v>
      </c>
      <c r="I17" s="4">
        <f t="shared" si="6"/>
        <v>-0.10377626077866663</v>
      </c>
      <c r="J17" s="4">
        <f t="shared" si="7"/>
        <v>-0.2899422880426667</v>
      </c>
      <c r="K17" s="4">
        <f t="shared" si="1"/>
        <v>-0.20772271377875665</v>
      </c>
      <c r="L17">
        <f t="shared" si="2"/>
        <v>0.29296875</v>
      </c>
      <c r="M17" s="4">
        <f t="shared" si="3"/>
        <v>3.2215893333333273E-2</v>
      </c>
      <c r="N17" s="4">
        <f t="shared" si="4"/>
        <v>2.1989546666666606E-2</v>
      </c>
      <c r="O17" s="4">
        <f t="shared" si="5"/>
        <v>-9.9071780745816039E-3</v>
      </c>
    </row>
    <row r="18" spans="1:15" x14ac:dyDescent="0.3">
      <c r="A18">
        <v>16</v>
      </c>
      <c r="B18">
        <v>0.322544</v>
      </c>
      <c r="C18">
        <v>0.319548</v>
      </c>
      <c r="D18">
        <v>2625.6554860000001</v>
      </c>
      <c r="E18">
        <v>2208.3543679999998</v>
      </c>
      <c r="F18">
        <v>1.9061999999999999E-2</v>
      </c>
      <c r="G18">
        <v>0.49937500000000001</v>
      </c>
      <c r="H18">
        <f t="shared" si="0"/>
        <v>3125</v>
      </c>
      <c r="I18" s="4">
        <f t="shared" si="6"/>
        <v>-0.15979024447999995</v>
      </c>
      <c r="J18" s="4">
        <f t="shared" si="7"/>
        <v>-0.29332660224000007</v>
      </c>
      <c r="K18" s="4">
        <f t="shared" si="1"/>
        <v>-0.1589321676910968</v>
      </c>
      <c r="L18">
        <f t="shared" si="2"/>
        <v>0.3125</v>
      </c>
      <c r="M18" s="4">
        <f t="shared" si="3"/>
        <v>3.214079999999999E-2</v>
      </c>
      <c r="N18" s="4">
        <f t="shared" si="4"/>
        <v>2.2553599999999997E-2</v>
      </c>
      <c r="O18" s="4">
        <f t="shared" si="5"/>
        <v>-9.2886551912297194E-3</v>
      </c>
    </row>
    <row r="19" spans="1:15" x14ac:dyDescent="0.3">
      <c r="A19">
        <v>17</v>
      </c>
      <c r="B19">
        <v>0.34246100000000002</v>
      </c>
      <c r="C19">
        <v>0.33955299999999999</v>
      </c>
      <c r="D19">
        <v>2872.4427169999999</v>
      </c>
      <c r="E19">
        <v>2293.274551</v>
      </c>
      <c r="F19">
        <v>1.9311999999999999E-2</v>
      </c>
      <c r="G19">
        <v>0.52293800000000001</v>
      </c>
      <c r="H19">
        <f t="shared" si="0"/>
        <v>3320.3125</v>
      </c>
      <c r="I19" s="4">
        <f t="shared" si="6"/>
        <v>-0.13488784052705885</v>
      </c>
      <c r="J19" s="4">
        <f t="shared" si="7"/>
        <v>-0.30931966463999999</v>
      </c>
      <c r="K19" s="4">
        <f t="shared" si="1"/>
        <v>-0.20162914392419543</v>
      </c>
      <c r="L19">
        <f t="shared" si="2"/>
        <v>0.33203125</v>
      </c>
      <c r="M19" s="4">
        <f t="shared" si="3"/>
        <v>3.1411952941176519E-2</v>
      </c>
      <c r="N19" s="4">
        <f t="shared" si="4"/>
        <v>2.2653741176470569E-2</v>
      </c>
      <c r="O19" s="4">
        <f t="shared" si="5"/>
        <v>-8.4914778617127835E-3</v>
      </c>
    </row>
    <row r="20" spans="1:15" x14ac:dyDescent="0.3">
      <c r="A20">
        <v>18</v>
      </c>
      <c r="B20">
        <v>0.36246600000000001</v>
      </c>
      <c r="C20">
        <v>0.359514</v>
      </c>
      <c r="D20">
        <v>3055.7708539999999</v>
      </c>
      <c r="E20">
        <v>2461.9637170000001</v>
      </c>
      <c r="F20">
        <v>1.9438E-2</v>
      </c>
      <c r="G20">
        <v>0.54562500000000003</v>
      </c>
      <c r="H20">
        <f t="shared" si="0"/>
        <v>3515.625</v>
      </c>
      <c r="I20" s="4">
        <f t="shared" si="6"/>
        <v>-0.13080295708444448</v>
      </c>
      <c r="J20" s="4">
        <f t="shared" si="7"/>
        <v>-0.29970809827555556</v>
      </c>
      <c r="K20" s="4">
        <f t="shared" si="1"/>
        <v>-0.19432318893372094</v>
      </c>
      <c r="L20">
        <f t="shared" si="2"/>
        <v>0.3515625</v>
      </c>
      <c r="M20" s="4">
        <f t="shared" si="3"/>
        <v>3.1014400000000029E-2</v>
      </c>
      <c r="N20" s="4">
        <f t="shared" si="4"/>
        <v>2.2617600000000002E-2</v>
      </c>
      <c r="O20" s="4">
        <f t="shared" si="5"/>
        <v>-8.1442121467944859E-3</v>
      </c>
    </row>
    <row r="21" spans="1:15" x14ac:dyDescent="0.3">
      <c r="A21">
        <v>19</v>
      </c>
      <c r="B21">
        <v>0.38242700000000002</v>
      </c>
      <c r="C21">
        <v>0.37929800000000002</v>
      </c>
      <c r="D21">
        <v>3297.8936199999998</v>
      </c>
      <c r="E21">
        <v>2587.4834980000001</v>
      </c>
      <c r="F21">
        <v>1.975E-2</v>
      </c>
      <c r="G21">
        <v>0.56781199999999998</v>
      </c>
      <c r="H21">
        <f t="shared" si="0"/>
        <v>3710.9375</v>
      </c>
      <c r="I21" s="4">
        <f t="shared" si="6"/>
        <v>-0.11130445608421058</v>
      </c>
      <c r="J21" s="4">
        <f t="shared" si="7"/>
        <v>-0.30274128895999997</v>
      </c>
      <c r="K21" s="4">
        <f t="shared" si="1"/>
        <v>-0.21541329219709635</v>
      </c>
      <c r="L21">
        <f t="shared" si="2"/>
        <v>0.37109375</v>
      </c>
      <c r="M21" s="4">
        <f t="shared" si="3"/>
        <v>3.054012631578952E-2</v>
      </c>
      <c r="N21" s="4">
        <f t="shared" si="4"/>
        <v>2.2108294736842171E-2</v>
      </c>
      <c r="O21" s="4">
        <f t="shared" si="5"/>
        <v>-8.1819536800487227E-3</v>
      </c>
    </row>
    <row r="22" spans="1:15" x14ac:dyDescent="0.3">
      <c r="A22">
        <v>20</v>
      </c>
      <c r="B22">
        <v>0.40260800000000002</v>
      </c>
      <c r="C22">
        <v>0.399391</v>
      </c>
      <c r="D22">
        <v>3417.9750140000001</v>
      </c>
      <c r="E22">
        <v>2712.158218</v>
      </c>
      <c r="F22">
        <v>1.9938000000000001E-2</v>
      </c>
      <c r="G22">
        <v>0.58975</v>
      </c>
      <c r="H22">
        <f t="shared" si="0"/>
        <v>3906.25</v>
      </c>
      <c r="I22" s="4">
        <f t="shared" si="6"/>
        <v>-0.12499839641599997</v>
      </c>
      <c r="J22" s="4">
        <f t="shared" si="7"/>
        <v>-0.30568749619199997</v>
      </c>
      <c r="K22" s="4">
        <f t="shared" si="1"/>
        <v>-0.20650144986694746</v>
      </c>
      <c r="L22">
        <f t="shared" si="2"/>
        <v>0.390625</v>
      </c>
      <c r="M22" s="4">
        <f t="shared" si="3"/>
        <v>3.0676480000000055E-2</v>
      </c>
      <c r="N22" s="4">
        <f t="shared" si="4"/>
        <v>2.2440959999999989E-2</v>
      </c>
      <c r="O22" s="4">
        <f t="shared" si="5"/>
        <v>-7.9904025752096965E-3</v>
      </c>
    </row>
    <row r="23" spans="1:15" x14ac:dyDescent="0.3">
      <c r="A23">
        <v>21</v>
      </c>
      <c r="B23">
        <v>0.42243599999999998</v>
      </c>
      <c r="C23">
        <v>0.41917500000000002</v>
      </c>
      <c r="D23">
        <v>3477.7730240000001</v>
      </c>
      <c r="E23">
        <v>2835.9963819999998</v>
      </c>
      <c r="F23">
        <v>2.0188000000000001E-2</v>
      </c>
      <c r="G23">
        <v>0.61062499999999997</v>
      </c>
      <c r="H23">
        <f t="shared" si="0"/>
        <v>4101.5625</v>
      </c>
      <c r="I23" s="4">
        <f t="shared" si="6"/>
        <v>-0.15208581510095237</v>
      </c>
      <c r="J23" s="4">
        <f t="shared" si="7"/>
        <v>-0.30855707257904769</v>
      </c>
      <c r="K23" s="4">
        <f t="shared" si="1"/>
        <v>-0.18453666687593476</v>
      </c>
      <c r="L23">
        <f t="shared" si="2"/>
        <v>0.41015625</v>
      </c>
      <c r="M23" s="4">
        <f t="shared" si="3"/>
        <v>2.9939199999999947E-2</v>
      </c>
      <c r="N23" s="4">
        <f t="shared" si="4"/>
        <v>2.1988571428571475E-2</v>
      </c>
      <c r="O23" s="4">
        <f t="shared" si="5"/>
        <v>-7.7195125415446568E-3</v>
      </c>
    </row>
    <row r="24" spans="1:15" x14ac:dyDescent="0.3">
      <c r="A24">
        <v>22</v>
      </c>
      <c r="B24">
        <v>0.44244099999999997</v>
      </c>
      <c r="C24">
        <v>0.43926799999999999</v>
      </c>
      <c r="D24">
        <v>3833.2043399999998</v>
      </c>
      <c r="E24">
        <v>2999.8271119999999</v>
      </c>
      <c r="F24">
        <v>2.0375000000000001E-2</v>
      </c>
      <c r="G24">
        <v>0.63106200000000001</v>
      </c>
      <c r="H24">
        <f t="shared" si="0"/>
        <v>4296.875</v>
      </c>
      <c r="I24" s="4">
        <f t="shared" si="6"/>
        <v>-0.1079088081454546</v>
      </c>
      <c r="J24" s="4">
        <f t="shared" si="7"/>
        <v>-0.30185841757090909</v>
      </c>
      <c r="K24" s="4">
        <f t="shared" si="1"/>
        <v>-0.21741007107385252</v>
      </c>
      <c r="L24">
        <f t="shared" si="2"/>
        <v>0.4296875</v>
      </c>
      <c r="M24" s="4">
        <f t="shared" si="3"/>
        <v>2.9680872727272666E-2</v>
      </c>
      <c r="N24" s="4">
        <f t="shared" si="4"/>
        <v>2.2296436363636346E-2</v>
      </c>
      <c r="O24" s="4">
        <f t="shared" si="5"/>
        <v>-7.1715776792837501E-3</v>
      </c>
    </row>
    <row r="25" spans="1:15" x14ac:dyDescent="0.3">
      <c r="A25">
        <v>23</v>
      </c>
      <c r="B25">
        <v>0.46257799999999999</v>
      </c>
      <c r="C25">
        <v>0.45914100000000002</v>
      </c>
      <c r="D25">
        <v>4008.7908170000001</v>
      </c>
      <c r="E25">
        <v>3081.196496</v>
      </c>
      <c r="F25">
        <v>2.0500000000000001E-2</v>
      </c>
      <c r="G25">
        <v>0.65149999999999997</v>
      </c>
      <c r="H25">
        <f t="shared" si="0"/>
        <v>4492.1875</v>
      </c>
      <c r="I25" s="4">
        <f t="shared" si="6"/>
        <v>-0.10760830508521738</v>
      </c>
      <c r="J25" s="4">
        <f t="shared" si="7"/>
        <v>-0.31409886697739131</v>
      </c>
      <c r="K25" s="4">
        <f t="shared" si="1"/>
        <v>-0.23139005334635299</v>
      </c>
      <c r="L25">
        <f t="shared" si="2"/>
        <v>0.44921875</v>
      </c>
      <c r="M25" s="4">
        <f t="shared" si="3"/>
        <v>2.9738852173913019E-2</v>
      </c>
      <c r="N25" s="4">
        <f t="shared" si="4"/>
        <v>2.2087791304347872E-2</v>
      </c>
      <c r="O25" s="4">
        <f t="shared" si="5"/>
        <v>-7.4300982753178228E-3</v>
      </c>
    </row>
    <row r="26" spans="1:15" x14ac:dyDescent="0.3">
      <c r="A26">
        <v>24</v>
      </c>
      <c r="B26">
        <v>0.48245100000000002</v>
      </c>
      <c r="C26">
        <v>0.47857300000000003</v>
      </c>
      <c r="D26">
        <v>4125.0713990000004</v>
      </c>
      <c r="E26">
        <v>3162.205121</v>
      </c>
      <c r="F26">
        <v>2.0750000000000001E-2</v>
      </c>
      <c r="G26">
        <v>0.67143799999999998</v>
      </c>
      <c r="H26">
        <f t="shared" si="0"/>
        <v>4687.5</v>
      </c>
      <c r="I26" s="4">
        <f t="shared" si="6"/>
        <v>-0.11998476821333325</v>
      </c>
      <c r="J26" s="4">
        <f t="shared" si="7"/>
        <v>-0.32539624085333335</v>
      </c>
      <c r="K26" s="4">
        <f t="shared" si="1"/>
        <v>-0.23341808780168469</v>
      </c>
      <c r="L26">
        <f t="shared" si="2"/>
        <v>0.46875</v>
      </c>
      <c r="M26" s="4">
        <f t="shared" si="3"/>
        <v>2.9228800000000041E-2</v>
      </c>
      <c r="N26" s="4">
        <f t="shared" si="4"/>
        <v>2.0955733333333389E-2</v>
      </c>
      <c r="O26" s="4">
        <f t="shared" si="5"/>
        <v>-8.0381220061726318E-3</v>
      </c>
    </row>
    <row r="27" spans="1:15" x14ac:dyDescent="0.3">
      <c r="A27">
        <v>25</v>
      </c>
      <c r="B27">
        <v>0.50219100000000005</v>
      </c>
      <c r="C27">
        <v>0.498137</v>
      </c>
      <c r="D27">
        <v>4298.3390010000003</v>
      </c>
      <c r="E27">
        <v>3283.046863</v>
      </c>
      <c r="F27">
        <v>2.1000000000000001E-2</v>
      </c>
      <c r="G27">
        <v>0.69074999999999998</v>
      </c>
      <c r="H27">
        <f t="shared" si="0"/>
        <v>4882.8125</v>
      </c>
      <c r="I27" s="4">
        <f t="shared" si="6"/>
        <v>-0.11970017259519994</v>
      </c>
      <c r="J27" s="4">
        <f t="shared" si="7"/>
        <v>-0.32763200245759999</v>
      </c>
      <c r="K27" s="4">
        <f t="shared" si="1"/>
        <v>-0.2362056919577061</v>
      </c>
      <c r="L27">
        <f t="shared" si="2"/>
        <v>0.48828125</v>
      </c>
      <c r="M27" s="4">
        <f t="shared" si="3"/>
        <v>2.8487168000000111E-2</v>
      </c>
      <c r="N27" s="4">
        <f t="shared" si="4"/>
        <v>2.0184575999999992E-2</v>
      </c>
      <c r="O27" s="4">
        <f t="shared" si="5"/>
        <v>-8.072625753946322E-3</v>
      </c>
    </row>
    <row r="28" spans="1:15" x14ac:dyDescent="0.3">
      <c r="A28">
        <v>26</v>
      </c>
      <c r="B28">
        <v>0.52224000000000004</v>
      </c>
      <c r="C28">
        <v>0.51805400000000001</v>
      </c>
      <c r="D28">
        <v>4640.7823420000004</v>
      </c>
      <c r="E28">
        <v>3482.6795820000002</v>
      </c>
      <c r="F28">
        <v>2.1187999999999999E-2</v>
      </c>
      <c r="G28">
        <v>0.70925000000000005</v>
      </c>
      <c r="H28">
        <f t="shared" si="0"/>
        <v>5078.125</v>
      </c>
      <c r="I28" s="4">
        <f t="shared" si="6"/>
        <v>-8.6122861883076843E-2</v>
      </c>
      <c r="J28" s="4">
        <f t="shared" si="7"/>
        <v>-0.31418002077538459</v>
      </c>
      <c r="K28" s="4">
        <f t="shared" si="1"/>
        <v>-0.24954903605776566</v>
      </c>
      <c r="L28">
        <f t="shared" si="2"/>
        <v>0.5078125</v>
      </c>
      <c r="M28" s="4">
        <f t="shared" si="3"/>
        <v>2.8411076923076997E-2</v>
      </c>
      <c r="N28" s="4">
        <f t="shared" si="4"/>
        <v>2.0167876923076953E-2</v>
      </c>
      <c r="O28" s="4">
        <f t="shared" si="5"/>
        <v>-8.0154718137255346E-3</v>
      </c>
    </row>
    <row r="29" spans="1:15" x14ac:dyDescent="0.3">
      <c r="A29">
        <v>27</v>
      </c>
      <c r="B29">
        <v>0.54224499999999998</v>
      </c>
      <c r="C29">
        <v>0.53797099999999998</v>
      </c>
      <c r="D29">
        <v>4809.9901669999999</v>
      </c>
      <c r="E29">
        <v>3561.9198959999999</v>
      </c>
      <c r="F29">
        <v>2.1437999999999999E-2</v>
      </c>
      <c r="G29">
        <v>0.72743800000000003</v>
      </c>
      <c r="H29">
        <f t="shared" si="0"/>
        <v>5273.4375</v>
      </c>
      <c r="I29" s="4">
        <f t="shared" si="6"/>
        <v>-8.788334610962964E-2</v>
      </c>
      <c r="J29" s="4">
        <f t="shared" si="7"/>
        <v>-0.32455444935111111</v>
      </c>
      <c r="K29" s="4">
        <f t="shared" si="1"/>
        <v>-0.25947459925441468</v>
      </c>
      <c r="L29">
        <f t="shared" si="2"/>
        <v>0.52734375</v>
      </c>
      <c r="M29" s="4">
        <f t="shared" si="3"/>
        <v>2.8257185185185142E-2</v>
      </c>
      <c r="N29" s="4">
        <f t="shared" si="4"/>
        <v>2.0152414814814772E-2</v>
      </c>
      <c r="O29" s="4">
        <f t="shared" si="5"/>
        <v>-7.8820459386439706E-3</v>
      </c>
    </row>
    <row r="30" spans="1:15" x14ac:dyDescent="0.3">
      <c r="A30">
        <v>28</v>
      </c>
      <c r="B30">
        <v>0.56242599999999998</v>
      </c>
      <c r="C30">
        <v>0.55788700000000002</v>
      </c>
      <c r="D30">
        <v>4753.7351710000003</v>
      </c>
      <c r="E30">
        <v>3680.130999</v>
      </c>
      <c r="F30">
        <v>2.1687999999999999E-2</v>
      </c>
      <c r="G30">
        <v>0.74543800000000005</v>
      </c>
      <c r="H30">
        <f t="shared" si="0"/>
        <v>5468.75</v>
      </c>
      <c r="I30" s="4">
        <f t="shared" si="6"/>
        <v>-0.13074556873142854</v>
      </c>
      <c r="J30" s="4">
        <f t="shared" si="7"/>
        <v>-0.32706176018285715</v>
      </c>
      <c r="K30" s="4">
        <f t="shared" si="1"/>
        <v>-0.22584433784815908</v>
      </c>
      <c r="L30">
        <f t="shared" si="2"/>
        <v>0.546875</v>
      </c>
      <c r="M30" s="4">
        <f t="shared" si="3"/>
        <v>2.8436114285714253E-2</v>
      </c>
      <c r="N30" s="4">
        <f t="shared" si="4"/>
        <v>2.0136228571428612E-2</v>
      </c>
      <c r="O30" s="4">
        <f t="shared" si="5"/>
        <v>-8.0703950386361231E-3</v>
      </c>
    </row>
    <row r="31" spans="1:15" x14ac:dyDescent="0.3">
      <c r="A31">
        <v>29</v>
      </c>
      <c r="B31">
        <v>0.58234200000000003</v>
      </c>
      <c r="C31">
        <v>0.57780399999999998</v>
      </c>
      <c r="D31">
        <v>5089.0739629999998</v>
      </c>
      <c r="E31">
        <v>3797.5696480000001</v>
      </c>
      <c r="F31">
        <v>2.1937999999999999E-2</v>
      </c>
      <c r="G31">
        <v>0.76275000000000004</v>
      </c>
      <c r="H31">
        <f t="shared" si="0"/>
        <v>5664.0625</v>
      </c>
      <c r="I31" s="4">
        <f t="shared" si="6"/>
        <v>-0.10151521756689659</v>
      </c>
      <c r="J31" s="4">
        <f t="shared" si="7"/>
        <v>-0.32953253111172409</v>
      </c>
      <c r="K31" s="4">
        <f t="shared" si="1"/>
        <v>-0.25377982799814924</v>
      </c>
      <c r="L31">
        <f t="shared" si="2"/>
        <v>0.56640625</v>
      </c>
      <c r="M31" s="4">
        <f t="shared" si="3"/>
        <v>2.8134841379310393E-2</v>
      </c>
      <c r="N31" s="4">
        <f t="shared" si="4"/>
        <v>2.0122924137931007E-2</v>
      </c>
      <c r="O31" s="4">
        <f t="shared" si="5"/>
        <v>-7.7926716602959118E-3</v>
      </c>
    </row>
    <row r="32" spans="1:15" x14ac:dyDescent="0.3">
      <c r="A32">
        <v>30</v>
      </c>
      <c r="B32">
        <v>0.60230300000000003</v>
      </c>
      <c r="C32">
        <v>0.59772099999999995</v>
      </c>
      <c r="D32">
        <v>5419.2284399999999</v>
      </c>
      <c r="E32">
        <v>3952.9659499999998</v>
      </c>
      <c r="F32">
        <v>2.2249999999999999E-2</v>
      </c>
      <c r="G32">
        <v>0.77975000000000005</v>
      </c>
      <c r="H32">
        <f t="shared" si="0"/>
        <v>5859.375</v>
      </c>
      <c r="I32" s="4">
        <f t="shared" si="6"/>
        <v>-7.5118346240000022E-2</v>
      </c>
      <c r="J32" s="4">
        <f t="shared" si="7"/>
        <v>-0.32536047786666672</v>
      </c>
      <c r="K32" s="4">
        <f t="shared" si="1"/>
        <v>-0.27056665099727739</v>
      </c>
      <c r="L32">
        <f t="shared" si="2"/>
        <v>0.5859375</v>
      </c>
      <c r="M32" s="4">
        <f t="shared" si="3"/>
        <v>2.793045333333339E-2</v>
      </c>
      <c r="N32" s="4">
        <f t="shared" si="4"/>
        <v>2.0110506666666576E-2</v>
      </c>
      <c r="O32" s="4">
        <f t="shared" si="5"/>
        <v>-7.6074666737507299E-3</v>
      </c>
    </row>
    <row r="33" spans="1:15" x14ac:dyDescent="0.3">
      <c r="A33">
        <v>31</v>
      </c>
      <c r="B33">
        <v>0.62226400000000004</v>
      </c>
      <c r="C33">
        <v>0.61759299999999995</v>
      </c>
      <c r="D33">
        <v>5473.7585859999999</v>
      </c>
      <c r="E33">
        <v>4068.6313869999999</v>
      </c>
      <c r="F33">
        <v>2.2438E-2</v>
      </c>
      <c r="G33">
        <v>0.79649999999999999</v>
      </c>
      <c r="H33">
        <f t="shared" si="0"/>
        <v>6054.6875</v>
      </c>
      <c r="I33" s="4">
        <f t="shared" si="6"/>
        <v>-9.5946969021935502E-2</v>
      </c>
      <c r="J33" s="4">
        <f t="shared" si="7"/>
        <v>-0.32801959027612904</v>
      </c>
      <c r="K33" s="4">
        <f t="shared" si="1"/>
        <v>-0.25670244255817826</v>
      </c>
      <c r="L33">
        <f t="shared" si="2"/>
        <v>0.60546875</v>
      </c>
      <c r="M33" s="4">
        <f t="shared" si="3"/>
        <v>2.773925161290329E-2</v>
      </c>
      <c r="N33" s="4">
        <f t="shared" si="4"/>
        <v>2.0024567741935399E-2</v>
      </c>
      <c r="O33" s="4">
        <f t="shared" si="5"/>
        <v>-7.5064602805241685E-3</v>
      </c>
    </row>
    <row r="34" spans="1:15" x14ac:dyDescent="0.3">
      <c r="A34">
        <v>32</v>
      </c>
      <c r="B34">
        <v>0.64323799999999998</v>
      </c>
      <c r="C34">
        <v>0.63825900000000002</v>
      </c>
      <c r="D34">
        <v>5582.3989849999998</v>
      </c>
      <c r="E34">
        <v>4297.7264619999996</v>
      </c>
      <c r="F34">
        <v>2.2811999999999999E-2</v>
      </c>
      <c r="G34">
        <v>0.81262500000000004</v>
      </c>
      <c r="H34">
        <f t="shared" si="0"/>
        <v>6250</v>
      </c>
      <c r="I34" s="4">
        <f t="shared" si="6"/>
        <v>-0.10681616240000003</v>
      </c>
      <c r="J34" s="4">
        <f t="shared" si="7"/>
        <v>-0.31236376608000005</v>
      </c>
      <c r="K34" s="4">
        <f t="shared" si="1"/>
        <v>-0.23012911231388816</v>
      </c>
      <c r="L34">
        <f t="shared" si="2"/>
        <v>0.625</v>
      </c>
      <c r="M34" s="4">
        <f t="shared" si="3"/>
        <v>2.9180799999999962E-2</v>
      </c>
      <c r="N34" s="4">
        <f t="shared" si="4"/>
        <v>2.1214400000000033E-2</v>
      </c>
      <c r="O34" s="4">
        <f t="shared" si="5"/>
        <v>-7.7405252799118765E-3</v>
      </c>
    </row>
    <row r="35" spans="1:15" x14ac:dyDescent="0.3">
      <c r="A35">
        <v>33</v>
      </c>
      <c r="B35">
        <v>0.66337500000000005</v>
      </c>
      <c r="C35">
        <v>0.65813200000000005</v>
      </c>
      <c r="D35">
        <v>5904.9995390000004</v>
      </c>
      <c r="E35">
        <v>4335.622257</v>
      </c>
      <c r="F35">
        <v>2.3E-2</v>
      </c>
      <c r="G35">
        <v>0.82837499999999997</v>
      </c>
      <c r="H35">
        <f t="shared" si="0"/>
        <v>6445.3125</v>
      </c>
      <c r="I35" s="4">
        <f t="shared" si="6"/>
        <v>-8.3830374555151452E-2</v>
      </c>
      <c r="J35" s="4">
        <f t="shared" si="7"/>
        <v>-0.32732163770181816</v>
      </c>
      <c r="K35" s="4">
        <f t="shared" si="1"/>
        <v>-0.26577094064697782</v>
      </c>
      <c r="L35">
        <f t="shared" si="2"/>
        <v>0.64453125</v>
      </c>
      <c r="M35" s="4">
        <f t="shared" si="3"/>
        <v>2.923636363636371E-2</v>
      </c>
      <c r="N35" s="4">
        <f t="shared" si="4"/>
        <v>2.1101769696969776E-2</v>
      </c>
      <c r="O35" s="4">
        <f t="shared" si="5"/>
        <v>-7.9035236480120563E-3</v>
      </c>
    </row>
    <row r="36" spans="1:15" x14ac:dyDescent="0.3">
      <c r="A36">
        <v>34</v>
      </c>
      <c r="B36">
        <v>0.68329200000000001</v>
      </c>
      <c r="C36">
        <v>0.67791599999999996</v>
      </c>
      <c r="D36">
        <v>6117.3414480000001</v>
      </c>
      <c r="E36">
        <v>4486.3958730000004</v>
      </c>
      <c r="F36">
        <v>2.3375E-2</v>
      </c>
      <c r="G36">
        <v>0.84412500000000001</v>
      </c>
      <c r="H36">
        <f t="shared" si="0"/>
        <v>6640.625</v>
      </c>
      <c r="I36" s="4">
        <f t="shared" si="6"/>
        <v>-7.8800346654117628E-2</v>
      </c>
      <c r="J36" s="4">
        <f t="shared" si="7"/>
        <v>-0.32440156265411757</v>
      </c>
      <c r="K36" s="4">
        <f t="shared" si="1"/>
        <v>-0.26661019151272325</v>
      </c>
      <c r="L36">
        <f t="shared" si="2"/>
        <v>0.6640625</v>
      </c>
      <c r="M36" s="4">
        <f t="shared" si="3"/>
        <v>2.8957364705882369E-2</v>
      </c>
      <c r="N36" s="4">
        <f t="shared" si="4"/>
        <v>2.0861741176470532E-2</v>
      </c>
      <c r="O36" s="4">
        <f t="shared" si="5"/>
        <v>-7.8677929786973178E-3</v>
      </c>
    </row>
    <row r="37" spans="1:15" x14ac:dyDescent="0.3">
      <c r="A37">
        <v>35</v>
      </c>
      <c r="B37">
        <v>0.70325199999999999</v>
      </c>
      <c r="C37">
        <v>0.69769999999999999</v>
      </c>
      <c r="D37">
        <v>6170.0910260000001</v>
      </c>
      <c r="E37">
        <v>4710.1559520000001</v>
      </c>
      <c r="F37">
        <v>2.3562E-2</v>
      </c>
      <c r="G37">
        <v>0.85931199999999996</v>
      </c>
      <c r="H37">
        <f t="shared" si="0"/>
        <v>6835.9375</v>
      </c>
      <c r="I37" s="4">
        <f t="shared" si="6"/>
        <v>-9.7403827053714281E-2</v>
      </c>
      <c r="J37" s="4">
        <f t="shared" si="7"/>
        <v>-0.31097147216457144</v>
      </c>
      <c r="K37" s="4">
        <f t="shared" si="1"/>
        <v>-0.23661483563986566</v>
      </c>
      <c r="L37">
        <f t="shared" si="2"/>
        <v>0.68359375</v>
      </c>
      <c r="M37" s="4">
        <f t="shared" si="3"/>
        <v>2.8757211428571412E-2</v>
      </c>
      <c r="N37" s="4">
        <f t="shared" si="4"/>
        <v>2.0635428571428551E-2</v>
      </c>
      <c r="O37" s="4">
        <f t="shared" si="5"/>
        <v>-7.894751810161936E-3</v>
      </c>
    </row>
    <row r="38" spans="1:15" x14ac:dyDescent="0.3">
      <c r="A38">
        <v>36</v>
      </c>
      <c r="B38">
        <v>0.72330099999999997</v>
      </c>
      <c r="C38">
        <v>0.71766099999999999</v>
      </c>
      <c r="D38">
        <v>6483.8059249999997</v>
      </c>
      <c r="E38">
        <v>4784.1106879999998</v>
      </c>
      <c r="F38">
        <v>2.3938000000000001E-2</v>
      </c>
      <c r="G38">
        <v>0.87412500000000004</v>
      </c>
      <c r="H38">
        <f t="shared" si="0"/>
        <v>7031.25</v>
      </c>
      <c r="I38" s="4">
        <f t="shared" si="6"/>
        <v>-7.7858712888888931E-2</v>
      </c>
      <c r="J38" s="4">
        <f t="shared" si="7"/>
        <v>-0.3195931465955556</v>
      </c>
      <c r="K38" s="4">
        <f t="shared" si="1"/>
        <v>-0.26214468117350381</v>
      </c>
      <c r="L38">
        <f t="shared" si="2"/>
        <v>0.703125</v>
      </c>
      <c r="M38" s="4">
        <f t="shared" si="3"/>
        <v>2.8694755555555514E-2</v>
      </c>
      <c r="N38" s="4">
        <f t="shared" si="4"/>
        <v>2.0673422222222213E-2</v>
      </c>
      <c r="O38" s="4">
        <f t="shared" si="5"/>
        <v>-7.7975835786207662E-3</v>
      </c>
    </row>
    <row r="39" spans="1:15" x14ac:dyDescent="0.3">
      <c r="A39">
        <v>37</v>
      </c>
      <c r="B39">
        <v>0.743394</v>
      </c>
      <c r="C39">
        <v>0.73748999999999998</v>
      </c>
      <c r="D39">
        <v>6535.6326330000002</v>
      </c>
      <c r="E39">
        <v>4894.4572129999997</v>
      </c>
      <c r="F39">
        <v>2.4312E-2</v>
      </c>
      <c r="G39">
        <v>0.88875000000000004</v>
      </c>
      <c r="H39">
        <f t="shared" si="0"/>
        <v>7226.5625</v>
      </c>
      <c r="I39" s="4">
        <f t="shared" si="6"/>
        <v>-9.5609754568648619E-2</v>
      </c>
      <c r="J39" s="4">
        <f t="shared" si="7"/>
        <v>-0.32271294782270277</v>
      </c>
      <c r="K39" s="4">
        <f t="shared" si="1"/>
        <v>-0.25111194465143377</v>
      </c>
      <c r="L39">
        <f t="shared" si="2"/>
        <v>0.72265625</v>
      </c>
      <c r="M39" s="4">
        <f t="shared" si="3"/>
        <v>2.8696562162162161E-2</v>
      </c>
      <c r="N39" s="4">
        <f t="shared" si="4"/>
        <v>2.0526702702702675E-2</v>
      </c>
      <c r="O39" s="4">
        <f t="shared" si="5"/>
        <v>-7.9419527195538579E-3</v>
      </c>
    </row>
    <row r="40" spans="1:15" x14ac:dyDescent="0.3">
      <c r="A40">
        <v>38</v>
      </c>
      <c r="B40">
        <v>0.76326700000000003</v>
      </c>
      <c r="C40">
        <v>0.75744999999999996</v>
      </c>
      <c r="D40">
        <v>6638.8969610000004</v>
      </c>
      <c r="E40">
        <v>5040.5031749999998</v>
      </c>
      <c r="F40">
        <v>2.4438000000000001E-2</v>
      </c>
      <c r="G40">
        <v>0.90325</v>
      </c>
      <c r="H40">
        <f t="shared" si="0"/>
        <v>7421.875</v>
      </c>
      <c r="I40" s="4">
        <f t="shared" si="6"/>
        <v>-0.10549598841263153</v>
      </c>
      <c r="J40" s="4">
        <f t="shared" si="7"/>
        <v>-0.3208585195789474</v>
      </c>
      <c r="K40" s="4">
        <f t="shared" si="1"/>
        <v>-0.24076195117799185</v>
      </c>
      <c r="L40">
        <f t="shared" si="2"/>
        <v>0.7421875</v>
      </c>
      <c r="M40" s="4">
        <f t="shared" si="3"/>
        <v>2.8401852631578985E-2</v>
      </c>
      <c r="N40" s="4">
        <f t="shared" si="4"/>
        <v>2.056421052631573E-2</v>
      </c>
      <c r="O40" s="4">
        <f t="shared" si="5"/>
        <v>-7.6211862952283698E-3</v>
      </c>
    </row>
    <row r="41" spans="1:15" x14ac:dyDescent="0.3">
      <c r="A41">
        <v>39</v>
      </c>
      <c r="B41">
        <v>0.78300700000000001</v>
      </c>
      <c r="C41">
        <v>0.77732299999999999</v>
      </c>
      <c r="D41">
        <v>6945.6120220000003</v>
      </c>
      <c r="E41">
        <v>5221.3423499999999</v>
      </c>
      <c r="F41">
        <v>2.4812000000000001E-2</v>
      </c>
      <c r="G41">
        <v>0.91725000000000001</v>
      </c>
      <c r="H41">
        <f t="shared" si="0"/>
        <v>7617.1875</v>
      </c>
      <c r="I41" s="4">
        <f t="shared" si="6"/>
        <v>-8.8165806342564074E-2</v>
      </c>
      <c r="J41" s="4">
        <f t="shared" si="7"/>
        <v>-0.31453146584615388</v>
      </c>
      <c r="K41" s="4">
        <f t="shared" si="1"/>
        <v>-0.24825309368539911</v>
      </c>
      <c r="L41">
        <f t="shared" si="2"/>
        <v>0.76171875</v>
      </c>
      <c r="M41" s="4">
        <f t="shared" si="3"/>
        <v>2.7947651282051292E-2</v>
      </c>
      <c r="N41" s="4">
        <f t="shared" si="4"/>
        <v>2.0485579487179471E-2</v>
      </c>
      <c r="O41" s="4">
        <f t="shared" si="5"/>
        <v>-7.2591943622471091E-3</v>
      </c>
    </row>
    <row r="42" spans="1:15" x14ac:dyDescent="0.3">
      <c r="A42">
        <v>40</v>
      </c>
      <c r="B42">
        <v>0.80627300000000002</v>
      </c>
      <c r="C42">
        <v>0.79781299999999999</v>
      </c>
      <c r="D42">
        <v>6894.8106719999996</v>
      </c>
      <c r="E42">
        <v>5328.9409050000004</v>
      </c>
      <c r="F42">
        <v>2.5125000000000001E-2</v>
      </c>
      <c r="G42">
        <v>0.93049999999999999</v>
      </c>
      <c r="H42">
        <f t="shared" si="0"/>
        <v>7812.5</v>
      </c>
      <c r="I42" s="4">
        <f t="shared" si="6"/>
        <v>-0.11746423398400005</v>
      </c>
      <c r="J42" s="4">
        <f t="shared" si="7"/>
        <v>-0.31789556415999998</v>
      </c>
      <c r="K42" s="4">
        <f t="shared" si="1"/>
        <v>-0.22710845032468199</v>
      </c>
      <c r="L42">
        <f t="shared" si="2"/>
        <v>0.78125</v>
      </c>
      <c r="M42" s="4">
        <f t="shared" si="3"/>
        <v>3.202944000000002E-2</v>
      </c>
      <c r="N42" s="4">
        <f t="shared" si="4"/>
        <v>2.1200639999999993E-2</v>
      </c>
      <c r="O42" s="4">
        <f t="shared" si="5"/>
        <v>-1.0492723928495712E-2</v>
      </c>
    </row>
    <row r="43" spans="1:15" x14ac:dyDescent="0.3">
      <c r="A43">
        <v>41</v>
      </c>
      <c r="B43">
        <v>0.82640999999999998</v>
      </c>
      <c r="C43">
        <v>0.81772900000000004</v>
      </c>
      <c r="D43">
        <v>7197.7377079999997</v>
      </c>
      <c r="E43">
        <v>5435.8685059999998</v>
      </c>
      <c r="F43">
        <v>2.5375000000000002E-2</v>
      </c>
      <c r="G43">
        <v>0.94399999999999995</v>
      </c>
      <c r="H43">
        <f t="shared" si="0"/>
        <v>8007.8125</v>
      </c>
      <c r="I43" s="4">
        <f t="shared" si="6"/>
        <v>-0.10116055939121955</v>
      </c>
      <c r="J43" s="4">
        <f t="shared" si="7"/>
        <v>-0.32117934754341465</v>
      </c>
      <c r="K43" s="4">
        <f t="shared" si="1"/>
        <v>-0.24478096778127276</v>
      </c>
      <c r="L43">
        <f t="shared" si="2"/>
        <v>0.80078125</v>
      </c>
      <c r="M43" s="4">
        <f t="shared" si="3"/>
        <v>3.2004682926829238E-2</v>
      </c>
      <c r="N43" s="4">
        <f t="shared" si="4"/>
        <v>2.1164019512195171E-2</v>
      </c>
      <c r="O43" s="4">
        <f t="shared" si="5"/>
        <v>-1.0504471146283247E-2</v>
      </c>
    </row>
    <row r="44" spans="1:15" x14ac:dyDescent="0.3">
      <c r="A44">
        <v>42</v>
      </c>
      <c r="B44">
        <v>0.84632600000000002</v>
      </c>
      <c r="C44">
        <v>0.83751399999999998</v>
      </c>
      <c r="D44">
        <v>7446.7705859999996</v>
      </c>
      <c r="E44">
        <v>5542.13141</v>
      </c>
      <c r="F44">
        <v>2.5687999999999999E-2</v>
      </c>
      <c r="G44">
        <v>0.95743800000000001</v>
      </c>
      <c r="H44">
        <f t="shared" si="0"/>
        <v>8203.125</v>
      </c>
      <c r="I44" s="4">
        <f t="shared" si="6"/>
        <v>-9.2203204754285756E-2</v>
      </c>
      <c r="J44" s="4">
        <f t="shared" si="7"/>
        <v>-0.32438779001904761</v>
      </c>
      <c r="K44" s="4">
        <f t="shared" si="1"/>
        <v>-0.25576713476050139</v>
      </c>
      <c r="L44">
        <f t="shared" si="2"/>
        <v>0.8203125</v>
      </c>
      <c r="M44" s="4">
        <f t="shared" si="3"/>
        <v>3.1711695238095264E-2</v>
      </c>
      <c r="N44" s="4">
        <f t="shared" si="4"/>
        <v>2.0969447619047597E-2</v>
      </c>
      <c r="O44" s="4">
        <f t="shared" si="5"/>
        <v>-1.0412063436548141E-2</v>
      </c>
    </row>
    <row r="45" spans="1:15" x14ac:dyDescent="0.3">
      <c r="A45">
        <v>43</v>
      </c>
      <c r="B45">
        <v>0.86637500000000001</v>
      </c>
      <c r="C45">
        <v>0.85712200000000005</v>
      </c>
      <c r="D45">
        <v>7643.8081229999998</v>
      </c>
      <c r="E45">
        <v>5717.7758940000003</v>
      </c>
      <c r="F45">
        <v>2.6061999999999998E-2</v>
      </c>
      <c r="G45">
        <v>0.97024999999999995</v>
      </c>
      <c r="H45">
        <f t="shared" si="0"/>
        <v>8398.4375</v>
      </c>
      <c r="I45" s="4">
        <f t="shared" si="6"/>
        <v>-8.9853544424186069E-2</v>
      </c>
      <c r="J45" s="4">
        <f t="shared" si="7"/>
        <v>-0.31918575401674415</v>
      </c>
      <c r="K45" s="4">
        <f t="shared" si="1"/>
        <v>-0.25197286457317308</v>
      </c>
      <c r="L45">
        <f t="shared" si="2"/>
        <v>0.83984375</v>
      </c>
      <c r="M45" s="4">
        <f t="shared" si="3"/>
        <v>3.1590697674418612E-2</v>
      </c>
      <c r="N45" s="4">
        <f t="shared" si="4"/>
        <v>2.0573172093023315E-2</v>
      </c>
      <c r="O45" s="4">
        <f t="shared" si="5"/>
        <v>-1.068013273697874E-2</v>
      </c>
    </row>
    <row r="46" spans="1:15" x14ac:dyDescent="0.3">
      <c r="A46">
        <v>44</v>
      </c>
      <c r="B46">
        <v>0.88624800000000004</v>
      </c>
      <c r="C46">
        <v>0.87721499999999997</v>
      </c>
      <c r="D46">
        <v>7790.3281299999999</v>
      </c>
      <c r="E46">
        <v>5822.2962729999999</v>
      </c>
      <c r="F46">
        <v>2.6438E-2</v>
      </c>
      <c r="G46">
        <v>0.98287500000000005</v>
      </c>
      <c r="H46">
        <f t="shared" si="0"/>
        <v>8593.75</v>
      </c>
      <c r="I46" s="4">
        <f t="shared" si="6"/>
        <v>-9.3489090327272747E-2</v>
      </c>
      <c r="J46" s="4">
        <f t="shared" si="7"/>
        <v>-0.32249643368727271</v>
      </c>
      <c r="K46" s="4">
        <f t="shared" si="1"/>
        <v>-0.25262502736197329</v>
      </c>
      <c r="L46">
        <f t="shared" si="2"/>
        <v>0.859375</v>
      </c>
      <c r="M46" s="4">
        <f t="shared" si="3"/>
        <v>3.1270400000000038E-2</v>
      </c>
      <c r="N46" s="4">
        <f t="shared" si="4"/>
        <v>2.0759272727272689E-2</v>
      </c>
      <c r="O46" s="4">
        <f t="shared" si="5"/>
        <v>-1.0192406640127896E-2</v>
      </c>
    </row>
    <row r="47" spans="1:15" x14ac:dyDescent="0.3">
      <c r="A47">
        <v>45</v>
      </c>
      <c r="B47">
        <v>0.906165</v>
      </c>
      <c r="C47">
        <v>0.89717599999999997</v>
      </c>
      <c r="D47">
        <v>7984.0329469999997</v>
      </c>
      <c r="E47">
        <v>5995.0722420000002</v>
      </c>
      <c r="F47">
        <v>2.6811999999999999E-2</v>
      </c>
      <c r="G47">
        <v>0.99537500000000001</v>
      </c>
      <c r="H47">
        <f t="shared" si="0"/>
        <v>8789.0625</v>
      </c>
      <c r="I47" s="4">
        <f t="shared" si="6"/>
        <v>-9.1594473585777811E-2</v>
      </c>
      <c r="J47" s="4">
        <f t="shared" si="7"/>
        <v>-0.317894002688</v>
      </c>
      <c r="K47" s="4">
        <f t="shared" si="1"/>
        <v>-0.24911729676007305</v>
      </c>
      <c r="L47">
        <f t="shared" si="2"/>
        <v>0.87890625</v>
      </c>
      <c r="M47" s="4">
        <f t="shared" si="3"/>
        <v>3.1014399999999998E-2</v>
      </c>
      <c r="N47" s="4">
        <f t="shared" si="4"/>
        <v>2.0786915555555525E-2</v>
      </c>
      <c r="O47" s="4">
        <f t="shared" si="5"/>
        <v>-9.9198269630807016E-3</v>
      </c>
    </row>
    <row r="48" spans="1:15" x14ac:dyDescent="0.3">
      <c r="A48">
        <v>46</v>
      </c>
      <c r="B48">
        <v>0.92599299999999996</v>
      </c>
      <c r="C48">
        <v>0.91700400000000004</v>
      </c>
      <c r="D48">
        <v>8175.8711800000001</v>
      </c>
      <c r="E48">
        <v>6029.4157009999999</v>
      </c>
      <c r="F48">
        <v>2.7061999999999999E-2</v>
      </c>
      <c r="G48">
        <v>1.0075620000000001</v>
      </c>
      <c r="H48">
        <f t="shared" si="0"/>
        <v>8984.375</v>
      </c>
      <c r="I48" s="4">
        <f t="shared" si="6"/>
        <v>-8.9989990399999983E-2</v>
      </c>
      <c r="J48" s="4">
        <f t="shared" si="7"/>
        <v>-0.32889981762782611</v>
      </c>
      <c r="K48" s="4">
        <f t="shared" si="1"/>
        <v>-0.262535383905107</v>
      </c>
      <c r="L48">
        <f t="shared" si="2"/>
        <v>0.8984375</v>
      </c>
      <c r="M48" s="4">
        <f t="shared" si="3"/>
        <v>3.067046956521734E-2</v>
      </c>
      <c r="N48" s="4">
        <f t="shared" si="4"/>
        <v>2.0665321739130479E-2</v>
      </c>
      <c r="O48" s="4">
        <f t="shared" si="5"/>
        <v>-9.7074167947272978E-3</v>
      </c>
    </row>
    <row r="49" spans="1:15" x14ac:dyDescent="0.3">
      <c r="A49">
        <v>47</v>
      </c>
      <c r="B49">
        <v>0.94613000000000003</v>
      </c>
      <c r="C49">
        <v>0.93674500000000005</v>
      </c>
      <c r="D49">
        <v>8271.0987380000006</v>
      </c>
      <c r="E49">
        <v>6200.0861500000001</v>
      </c>
      <c r="F49">
        <v>2.75E-2</v>
      </c>
      <c r="G49">
        <v>1.019625</v>
      </c>
      <c r="H49">
        <f t="shared" si="0"/>
        <v>9179.6875</v>
      </c>
      <c r="I49" s="4">
        <f t="shared" si="6"/>
        <v>-9.8978180030638227E-2</v>
      </c>
      <c r="J49" s="4">
        <f t="shared" si="7"/>
        <v>-0.32458635982978723</v>
      </c>
      <c r="K49" s="4">
        <f t="shared" si="1"/>
        <v>-0.25039147199212175</v>
      </c>
      <c r="L49">
        <f t="shared" si="2"/>
        <v>0.91796875</v>
      </c>
      <c r="M49" s="4">
        <f t="shared" si="3"/>
        <v>3.0677787234042582E-2</v>
      </c>
      <c r="N49" s="4">
        <f t="shared" si="4"/>
        <v>2.0454127659574523E-2</v>
      </c>
      <c r="O49" s="4">
        <f t="shared" si="5"/>
        <v>-9.9193556910783676E-3</v>
      </c>
    </row>
    <row r="50" spans="1:15" x14ac:dyDescent="0.3">
      <c r="A50">
        <v>48</v>
      </c>
      <c r="B50">
        <v>0.96745700000000001</v>
      </c>
      <c r="C50">
        <v>0.95749799999999996</v>
      </c>
      <c r="D50">
        <v>8365.8696789999995</v>
      </c>
      <c r="E50">
        <v>6402.6155429999999</v>
      </c>
      <c r="F50">
        <v>2.7938000000000001E-2</v>
      </c>
      <c r="G50">
        <v>1.032063</v>
      </c>
      <c r="H50">
        <f t="shared" si="0"/>
        <v>9375</v>
      </c>
      <c r="I50" s="4">
        <f t="shared" si="6"/>
        <v>-0.10764056757333339</v>
      </c>
      <c r="J50" s="4">
        <f t="shared" si="7"/>
        <v>-0.31705434208</v>
      </c>
      <c r="K50" s="4">
        <f t="shared" si="1"/>
        <v>-0.23467424324432865</v>
      </c>
      <c r="L50">
        <f t="shared" si="2"/>
        <v>0.9375</v>
      </c>
      <c r="M50" s="4">
        <f t="shared" si="3"/>
        <v>3.1954133333333343E-2</v>
      </c>
      <c r="N50" s="4">
        <f t="shared" si="4"/>
        <v>2.1331199999999956E-2</v>
      </c>
      <c r="O50" s="4">
        <f t="shared" si="5"/>
        <v>-1.0293997562682426E-2</v>
      </c>
    </row>
    <row r="51" spans="1:15" x14ac:dyDescent="0.3">
      <c r="A51">
        <v>49</v>
      </c>
      <c r="B51">
        <v>0.98715299999999995</v>
      </c>
      <c r="C51">
        <v>0.97741500000000003</v>
      </c>
      <c r="D51">
        <v>8694.0191309999991</v>
      </c>
      <c r="E51">
        <v>6502.9626170000001</v>
      </c>
      <c r="F51">
        <v>2.8375000000000001E-2</v>
      </c>
      <c r="G51">
        <v>1.0436879999999999</v>
      </c>
      <c r="H51">
        <f t="shared" si="0"/>
        <v>9570.3125</v>
      </c>
      <c r="I51" s="4">
        <f t="shared" si="6"/>
        <v>-9.1563715291428663E-2</v>
      </c>
      <c r="J51" s="4">
        <f t="shared" si="7"/>
        <v>-0.32050676328489797</v>
      </c>
      <c r="K51" s="4">
        <f t="shared" si="1"/>
        <v>-0.25201882822956018</v>
      </c>
      <c r="L51">
        <f t="shared" si="2"/>
        <v>0.95703125</v>
      </c>
      <c r="M51" s="4">
        <f t="shared" si="3"/>
        <v>3.1474155102040761E-2</v>
      </c>
      <c r="N51" s="4">
        <f t="shared" si="4"/>
        <v>2.1298938775510239E-2</v>
      </c>
      <c r="O51" s="4">
        <f t="shared" si="5"/>
        <v>-9.8647322147629741E-3</v>
      </c>
    </row>
    <row r="52" spans="1:15" x14ac:dyDescent="0.3">
      <c r="A52">
        <v>50</v>
      </c>
      <c r="B52">
        <v>1.007334</v>
      </c>
      <c r="C52">
        <v>0.99737600000000004</v>
      </c>
      <c r="D52">
        <v>8786.7753900000007</v>
      </c>
      <c r="E52">
        <v>6635.8195139999998</v>
      </c>
      <c r="F52">
        <v>2.8688000000000002E-2</v>
      </c>
      <c r="G52">
        <v>1.0549379999999999</v>
      </c>
      <c r="H52">
        <f t="shared" si="0"/>
        <v>9765.625</v>
      </c>
      <c r="I52" s="4">
        <f t="shared" si="6"/>
        <v>-0.10023420006399993</v>
      </c>
      <c r="J52" s="4">
        <f t="shared" si="7"/>
        <v>-0.32049208176640004</v>
      </c>
      <c r="K52" s="4">
        <f t="shared" si="1"/>
        <v>-0.24479468070254162</v>
      </c>
      <c r="L52">
        <f t="shared" si="2"/>
        <v>0.9765625</v>
      </c>
      <c r="M52" s="4">
        <f t="shared" si="3"/>
        <v>3.1510015999999953E-2</v>
      </c>
      <c r="N52" s="4">
        <f t="shared" si="4"/>
        <v>2.1313024000000041E-2</v>
      </c>
      <c r="O52" s="4">
        <f t="shared" si="5"/>
        <v>-9.8854997448710284E-3</v>
      </c>
    </row>
    <row r="53" spans="1:15" x14ac:dyDescent="0.3">
      <c r="A53">
        <v>51</v>
      </c>
      <c r="B53">
        <v>1.027163</v>
      </c>
      <c r="C53">
        <v>1.017072</v>
      </c>
      <c r="D53">
        <v>9062.4227009999995</v>
      </c>
      <c r="E53">
        <v>6833.1183620000002</v>
      </c>
      <c r="F53">
        <v>2.9125000000000002E-2</v>
      </c>
      <c r="G53">
        <v>1.066125</v>
      </c>
      <c r="H53">
        <f t="shared" si="0"/>
        <v>9960.9375</v>
      </c>
      <c r="I53" s="4">
        <f t="shared" si="6"/>
        <v>-9.0203838644705936E-2</v>
      </c>
      <c r="J53" s="4">
        <f t="shared" si="7"/>
        <v>-0.31400850954039217</v>
      </c>
      <c r="K53" s="4">
        <f t="shared" si="1"/>
        <v>-0.2459943011435568</v>
      </c>
      <c r="L53">
        <f t="shared" si="2"/>
        <v>0.99609375</v>
      </c>
      <c r="M53" s="4">
        <f t="shared" si="3"/>
        <v>3.1191090196078481E-2</v>
      </c>
      <c r="N53" s="4">
        <f t="shared" si="4"/>
        <v>2.10605176470588E-2</v>
      </c>
      <c r="O53" s="4">
        <f t="shared" si="5"/>
        <v>-9.8241467031036662E-3</v>
      </c>
    </row>
    <row r="54" spans="1:15" x14ac:dyDescent="0.3">
      <c r="A54">
        <v>52</v>
      </c>
      <c r="B54">
        <v>1.047388</v>
      </c>
      <c r="C54">
        <v>1.0369010000000001</v>
      </c>
      <c r="D54">
        <v>9289.1707430000006</v>
      </c>
      <c r="E54">
        <v>6930.8854119999996</v>
      </c>
      <c r="F54">
        <v>2.9437999999999999E-2</v>
      </c>
      <c r="G54">
        <v>1.0766880000000001</v>
      </c>
      <c r="H54">
        <f t="shared" si="0"/>
        <v>10156.25</v>
      </c>
      <c r="I54" s="4">
        <f t="shared" si="6"/>
        <v>-8.5373957612307635E-2</v>
      </c>
      <c r="J54" s="4">
        <f t="shared" si="7"/>
        <v>-0.31757435943384621</v>
      </c>
      <c r="K54" s="4">
        <f t="shared" si="1"/>
        <v>-0.25387468873657248</v>
      </c>
      <c r="L54">
        <f t="shared" si="2"/>
        <v>1.015625</v>
      </c>
      <c r="M54" s="4">
        <f t="shared" si="3"/>
        <v>3.1274338461538445E-2</v>
      </c>
      <c r="N54" s="4">
        <f t="shared" si="4"/>
        <v>2.0948676923076996E-2</v>
      </c>
      <c r="O54" s="4">
        <f t="shared" si="5"/>
        <v>-1.0012526399003916E-2</v>
      </c>
    </row>
    <row r="55" spans="1:15" x14ac:dyDescent="0.3">
      <c r="A55">
        <v>53</v>
      </c>
      <c r="B55">
        <v>1.06704</v>
      </c>
      <c r="C55">
        <v>1.0566409999999999</v>
      </c>
      <c r="D55">
        <v>9557.7888829999993</v>
      </c>
      <c r="E55">
        <v>7060.3382000000001</v>
      </c>
      <c r="F55">
        <v>2.9937999999999999E-2</v>
      </c>
      <c r="G55">
        <v>1.0875619999999999</v>
      </c>
      <c r="H55">
        <f t="shared" si="0"/>
        <v>10351.5625</v>
      </c>
      <c r="I55" s="4">
        <f t="shared" si="6"/>
        <v>-7.6681526774339689E-2</v>
      </c>
      <c r="J55" s="4">
        <f t="shared" si="7"/>
        <v>-0.3179446870943396</v>
      </c>
      <c r="K55" s="4">
        <f t="shared" si="1"/>
        <v>-0.26130004685938396</v>
      </c>
      <c r="L55">
        <f t="shared" si="2"/>
        <v>1.03515625</v>
      </c>
      <c r="M55" s="4">
        <f t="shared" si="3"/>
        <v>3.0800905660377347E-2</v>
      </c>
      <c r="N55" s="4">
        <f t="shared" si="4"/>
        <v>2.0755079245282963E-2</v>
      </c>
      <c r="O55" s="4">
        <f t="shared" si="5"/>
        <v>-9.7456515219673558E-3</v>
      </c>
    </row>
    <row r="56" spans="1:15" x14ac:dyDescent="0.3">
      <c r="A56">
        <v>54</v>
      </c>
      <c r="B56">
        <v>1.087089</v>
      </c>
      <c r="C56">
        <v>1.0767340000000001</v>
      </c>
      <c r="D56">
        <v>9646.497464</v>
      </c>
      <c r="E56">
        <v>7156.7570180000002</v>
      </c>
      <c r="F56">
        <v>3.0438E-2</v>
      </c>
      <c r="G56">
        <v>1.0981879999999999</v>
      </c>
      <c r="H56">
        <f t="shared" si="0"/>
        <v>10546.875</v>
      </c>
      <c r="I56" s="4">
        <f t="shared" si="6"/>
        <v>-8.5369129339259262E-2</v>
      </c>
      <c r="J56" s="4">
        <f t="shared" si="7"/>
        <v>-0.32143340866370368</v>
      </c>
      <c r="K56" s="4">
        <f t="shared" si="1"/>
        <v>-0.25809786974925597</v>
      </c>
      <c r="L56">
        <f t="shared" si="2"/>
        <v>1.0546875</v>
      </c>
      <c r="M56" s="4">
        <f t="shared" si="3"/>
        <v>3.0721422222222197E-2</v>
      </c>
      <c r="N56" s="4">
        <f t="shared" si="4"/>
        <v>2.0903348148148225E-2</v>
      </c>
      <c r="O56" s="4">
        <f t="shared" si="5"/>
        <v>-9.5254390394897675E-3</v>
      </c>
    </row>
    <row r="57" spans="1:15" x14ac:dyDescent="0.3">
      <c r="A57">
        <v>55</v>
      </c>
      <c r="B57">
        <v>1.1073139999999999</v>
      </c>
      <c r="C57">
        <v>1.096563</v>
      </c>
      <c r="D57">
        <v>9822.6856910000006</v>
      </c>
      <c r="E57">
        <v>7347.8918089999997</v>
      </c>
      <c r="F57">
        <v>3.0938E-2</v>
      </c>
      <c r="G57">
        <v>1.1083130000000001</v>
      </c>
      <c r="H57">
        <f t="shared" si="0"/>
        <v>10742.1875</v>
      </c>
      <c r="I57" s="4">
        <f t="shared" si="6"/>
        <v>-8.5597259310545404E-2</v>
      </c>
      <c r="J57" s="4">
        <f t="shared" si="7"/>
        <v>-0.31597807159854546</v>
      </c>
      <c r="K57" s="4">
        <f t="shared" si="1"/>
        <v>-0.25194676485144196</v>
      </c>
      <c r="L57">
        <f t="shared" si="2"/>
        <v>1.07421875</v>
      </c>
      <c r="M57" s="4">
        <f t="shared" si="3"/>
        <v>3.0808669090909006E-2</v>
      </c>
      <c r="N57" s="4">
        <f t="shared" si="4"/>
        <v>2.0800465454545412E-2</v>
      </c>
      <c r="O57" s="4">
        <f t="shared" si="5"/>
        <v>-9.7090798093404009E-3</v>
      </c>
    </row>
    <row r="58" spans="1:15" x14ac:dyDescent="0.3">
      <c r="A58">
        <v>56</v>
      </c>
      <c r="B58">
        <v>1.129302</v>
      </c>
      <c r="C58">
        <v>1.1173169999999999</v>
      </c>
      <c r="D58">
        <v>10040.645818000001</v>
      </c>
      <c r="E58">
        <v>7411.1042950000001</v>
      </c>
      <c r="F58">
        <v>3.1375E-2</v>
      </c>
      <c r="G58">
        <v>1.1185</v>
      </c>
      <c r="H58">
        <f t="shared" si="0"/>
        <v>10937.5</v>
      </c>
      <c r="I58" s="4">
        <f t="shared" si="6"/>
        <v>-8.1998096639999921E-2</v>
      </c>
      <c r="J58" s="4">
        <f t="shared" si="7"/>
        <v>-0.32241332159999997</v>
      </c>
      <c r="K58" s="4">
        <f t="shared" si="1"/>
        <v>-0.26188968027195886</v>
      </c>
      <c r="L58">
        <f t="shared" si="2"/>
        <v>1.09375</v>
      </c>
      <c r="M58" s="4">
        <f t="shared" si="3"/>
        <v>3.250468571428574E-2</v>
      </c>
      <c r="N58" s="4">
        <f t="shared" si="4"/>
        <v>2.1546971428571333E-2</v>
      </c>
      <c r="O58" s="4">
        <f t="shared" si="5"/>
        <v>-1.0612750176657913E-2</v>
      </c>
    </row>
    <row r="59" spans="1:15" x14ac:dyDescent="0.3">
      <c r="A59">
        <v>57</v>
      </c>
      <c r="B59">
        <v>1.1494390000000001</v>
      </c>
      <c r="C59">
        <v>1.1370130000000001</v>
      </c>
      <c r="D59">
        <v>10040.645818000001</v>
      </c>
      <c r="E59">
        <v>7630.4114129999998</v>
      </c>
      <c r="F59">
        <v>3.1812E-2</v>
      </c>
      <c r="G59">
        <v>1.1285000000000001</v>
      </c>
      <c r="H59">
        <f t="shared" si="0"/>
        <v>11132.8125</v>
      </c>
      <c r="I59" s="4">
        <f t="shared" si="6"/>
        <v>-9.8103393190175359E-2</v>
      </c>
      <c r="J59" s="4">
        <f t="shared" si="7"/>
        <v>-0.31460164149894737</v>
      </c>
      <c r="K59" s="4">
        <f t="shared" si="1"/>
        <v>-0.24004774679723703</v>
      </c>
      <c r="L59">
        <f t="shared" si="2"/>
        <v>1.11328125</v>
      </c>
      <c r="M59" s="4">
        <f t="shared" si="3"/>
        <v>3.2478540350877286E-2</v>
      </c>
      <c r="N59" s="4">
        <f t="shared" si="4"/>
        <v>2.131694035087724E-2</v>
      </c>
      <c r="O59" s="4">
        <f t="shared" si="5"/>
        <v>-1.0810491030842043E-2</v>
      </c>
    </row>
    <row r="60" spans="1:15" x14ac:dyDescent="0.3">
      <c r="A60">
        <v>58</v>
      </c>
      <c r="B60">
        <v>1.169311</v>
      </c>
      <c r="C60">
        <v>1.157106</v>
      </c>
      <c r="D60">
        <v>10256.118383000001</v>
      </c>
      <c r="E60">
        <v>7661.4974750000001</v>
      </c>
      <c r="F60">
        <v>3.2375000000000001E-2</v>
      </c>
      <c r="G60">
        <v>1.13825</v>
      </c>
      <c r="H60">
        <f t="shared" si="0"/>
        <v>11328.125</v>
      </c>
      <c r="I60" s="4">
        <f t="shared" si="6"/>
        <v>-9.4632308259310266E-2</v>
      </c>
      <c r="J60" s="4">
        <f t="shared" si="7"/>
        <v>-0.32367470565517242</v>
      </c>
      <c r="K60" s="4">
        <f t="shared" si="1"/>
        <v>-0.25298273782610653</v>
      </c>
      <c r="L60">
        <f t="shared" si="2"/>
        <v>1.1328125</v>
      </c>
      <c r="M60" s="4">
        <f t="shared" si="3"/>
        <v>3.2219365517241368E-2</v>
      </c>
      <c r="N60" s="4">
        <f t="shared" si="4"/>
        <v>2.144529655172411E-2</v>
      </c>
      <c r="O60" s="4">
        <f t="shared" si="5"/>
        <v>-1.0437770618766112E-2</v>
      </c>
    </row>
    <row r="61" spans="1:15" x14ac:dyDescent="0.3">
      <c r="A61">
        <v>59</v>
      </c>
      <c r="B61">
        <v>1.189228</v>
      </c>
      <c r="C61">
        <v>1.1770670000000001</v>
      </c>
      <c r="D61">
        <v>10553.681311</v>
      </c>
      <c r="E61">
        <v>7846.7526310000003</v>
      </c>
      <c r="F61">
        <v>3.2812000000000001E-2</v>
      </c>
      <c r="G61">
        <v>1.1479999999999999</v>
      </c>
      <c r="H61">
        <f t="shared" si="0"/>
        <v>11523.4375</v>
      </c>
      <c r="I61" s="4">
        <f t="shared" si="6"/>
        <v>-8.4155113350508445E-2</v>
      </c>
      <c r="J61" s="4">
        <f t="shared" si="7"/>
        <v>-0.31906146659796608</v>
      </c>
      <c r="K61" s="4">
        <f t="shared" si="1"/>
        <v>-0.25649141756617139</v>
      </c>
      <c r="L61">
        <f t="shared" si="2"/>
        <v>1.15234375</v>
      </c>
      <c r="M61" s="4">
        <f t="shared" si="3"/>
        <v>3.2008027118644027E-2</v>
      </c>
      <c r="N61" s="4">
        <f t="shared" si="4"/>
        <v>2.1454752542372956E-2</v>
      </c>
      <c r="O61" s="4">
        <f t="shared" si="5"/>
        <v>-1.0225961716340236E-2</v>
      </c>
    </row>
    <row r="62" spans="1:15" x14ac:dyDescent="0.3">
      <c r="A62">
        <v>60</v>
      </c>
      <c r="B62">
        <v>1.2092769999999999</v>
      </c>
      <c r="C62">
        <v>1.196807</v>
      </c>
      <c r="D62">
        <v>10846.564526</v>
      </c>
      <c r="E62">
        <v>7938.5772340000003</v>
      </c>
      <c r="F62">
        <v>3.3312000000000001E-2</v>
      </c>
      <c r="G62">
        <v>1.1576249999999999</v>
      </c>
      <c r="H62">
        <f t="shared" si="0"/>
        <v>11718.75</v>
      </c>
      <c r="I62" s="4">
        <f t="shared" si="6"/>
        <v>-7.4426493781333328E-2</v>
      </c>
      <c r="J62" s="4">
        <f t="shared" si="7"/>
        <v>-0.32257474269866665</v>
      </c>
      <c r="K62" s="4">
        <f t="shared" si="1"/>
        <v>-0.2681021520712244</v>
      </c>
      <c r="L62">
        <f t="shared" si="2"/>
        <v>1.171875</v>
      </c>
      <c r="M62" s="4">
        <f t="shared" si="3"/>
        <v>3.1916373333333276E-2</v>
      </c>
      <c r="N62" s="4">
        <f t="shared" si="4"/>
        <v>2.1275306666666629E-2</v>
      </c>
      <c r="O62" s="4">
        <f t="shared" si="5"/>
        <v>-1.031194672519198E-2</v>
      </c>
    </row>
    <row r="63" spans="1:15" x14ac:dyDescent="0.3">
      <c r="A63">
        <v>61</v>
      </c>
      <c r="B63">
        <v>1.2291939999999999</v>
      </c>
      <c r="C63">
        <v>1.2165919999999999</v>
      </c>
      <c r="D63">
        <v>11011.867560999999</v>
      </c>
      <c r="E63">
        <v>8090.4446120000002</v>
      </c>
      <c r="F63">
        <v>3.3812000000000002E-2</v>
      </c>
      <c r="G63">
        <v>1.1665620000000001</v>
      </c>
      <c r="H63">
        <f t="shared" si="0"/>
        <v>11914.0625</v>
      </c>
      <c r="I63" s="4">
        <f t="shared" si="6"/>
        <v>-7.5725214552131229E-2</v>
      </c>
      <c r="J63" s="4">
        <f t="shared" si="7"/>
        <v>-0.32093317355016393</v>
      </c>
      <c r="K63" s="4">
        <f t="shared" si="1"/>
        <v>-0.26529768296039163</v>
      </c>
      <c r="L63">
        <f t="shared" si="2"/>
        <v>1.19140625</v>
      </c>
      <c r="M63" s="4">
        <f t="shared" si="3"/>
        <v>3.17169311475409E-2</v>
      </c>
      <c r="N63" s="4">
        <f t="shared" si="4"/>
        <v>2.1139514754098272E-2</v>
      </c>
      <c r="O63" s="4">
        <f t="shared" si="5"/>
        <v>-1.0252246594109638E-2</v>
      </c>
    </row>
    <row r="64" spans="1:15" x14ac:dyDescent="0.3">
      <c r="A64">
        <v>62</v>
      </c>
      <c r="B64">
        <v>1.249287</v>
      </c>
      <c r="C64">
        <v>1.2363759999999999</v>
      </c>
      <c r="D64">
        <v>11134.877560999999</v>
      </c>
      <c r="E64">
        <v>8240.8631499999992</v>
      </c>
      <c r="F64">
        <v>3.4438000000000003E-2</v>
      </c>
      <c r="G64">
        <v>1.1758120000000001</v>
      </c>
      <c r="H64">
        <f t="shared" si="0"/>
        <v>12109.375</v>
      </c>
      <c r="I64" s="4">
        <f t="shared" si="6"/>
        <v>-8.0474627220645217E-2</v>
      </c>
      <c r="J64" s="4">
        <f t="shared" si="7"/>
        <v>-0.31946420438709683</v>
      </c>
      <c r="K64" s="4">
        <f t="shared" si="1"/>
        <v>-0.2599053644861179</v>
      </c>
      <c r="L64">
        <f t="shared" si="2"/>
        <v>1.2109375</v>
      </c>
      <c r="M64" s="4">
        <f t="shared" si="3"/>
        <v>3.1669264516129066E-2</v>
      </c>
      <c r="N64" s="4">
        <f t="shared" si="4"/>
        <v>2.1007277419354771E-2</v>
      </c>
      <c r="O64" s="4">
        <f t="shared" si="5"/>
        <v>-1.0334694909976743E-2</v>
      </c>
    </row>
    <row r="65" spans="1:15" x14ac:dyDescent="0.3">
      <c r="A65">
        <v>63</v>
      </c>
      <c r="B65">
        <v>1.2692909999999999</v>
      </c>
      <c r="C65">
        <v>1.256337</v>
      </c>
      <c r="D65">
        <v>11297.616932999999</v>
      </c>
      <c r="E65">
        <v>8419.4819530000004</v>
      </c>
      <c r="F65">
        <v>3.5000000000000003E-2</v>
      </c>
      <c r="G65">
        <v>1.1849369999999999</v>
      </c>
      <c r="H65">
        <f t="shared" si="0"/>
        <v>12304.6875</v>
      </c>
      <c r="I65" s="4">
        <f t="shared" si="6"/>
        <v>-8.1844465127619101E-2</v>
      </c>
      <c r="J65" s="4">
        <f t="shared" si="7"/>
        <v>-0.31575003810539681</v>
      </c>
      <c r="K65" s="4">
        <f t="shared" si="1"/>
        <v>-0.25475593632432814</v>
      </c>
      <c r="L65">
        <f t="shared" si="2"/>
        <v>1.23046875</v>
      </c>
      <c r="M65" s="4">
        <f t="shared" si="3"/>
        <v>3.1550780952380911E-2</v>
      </c>
      <c r="N65" s="4">
        <f t="shared" si="4"/>
        <v>2.1023085714285746E-2</v>
      </c>
      <c r="O65" s="4">
        <f t="shared" si="5"/>
        <v>-1.0205697511445296E-2</v>
      </c>
    </row>
    <row r="66" spans="1:15" x14ac:dyDescent="0.3">
      <c r="A66">
        <v>64</v>
      </c>
      <c r="B66">
        <v>1.291191</v>
      </c>
      <c r="C66">
        <v>1.276386</v>
      </c>
      <c r="D66">
        <v>11418.726559000001</v>
      </c>
      <c r="E66">
        <v>8508.0310590000008</v>
      </c>
      <c r="F66">
        <v>3.5624999999999997E-2</v>
      </c>
      <c r="G66">
        <v>1.1941870000000001</v>
      </c>
      <c r="H66">
        <f t="shared" si="0"/>
        <v>12500</v>
      </c>
      <c r="I66" s="4">
        <f t="shared" si="6"/>
        <v>-8.6501875279999946E-2</v>
      </c>
      <c r="J66" s="4">
        <f t="shared" si="7"/>
        <v>-0.31935751527999995</v>
      </c>
      <c r="K66" s="4">
        <f t="shared" si="1"/>
        <v>-0.25490543844452168</v>
      </c>
      <c r="L66">
        <f t="shared" si="2"/>
        <v>1.25</v>
      </c>
      <c r="M66" s="4">
        <f t="shared" si="3"/>
        <v>3.2952799999999983E-2</v>
      </c>
      <c r="N66" s="4">
        <f t="shared" si="4"/>
        <v>2.1108800000000018E-2</v>
      </c>
      <c r="O66" s="4">
        <f t="shared" si="5"/>
        <v>-1.1466157989019407E-2</v>
      </c>
    </row>
    <row r="67" spans="1:15" x14ac:dyDescent="0.3">
      <c r="A67">
        <v>65</v>
      </c>
      <c r="B67">
        <v>1.3111079999999999</v>
      </c>
      <c r="C67">
        <v>1.2962579999999999</v>
      </c>
      <c r="D67">
        <v>11618.799874</v>
      </c>
      <c r="E67">
        <v>8625.3177379999997</v>
      </c>
      <c r="F67">
        <v>3.6124999999999997E-2</v>
      </c>
      <c r="G67">
        <v>1.20275</v>
      </c>
      <c r="H67">
        <f t="shared" ref="H67:H130" si="8">(50000 / 256) *A67</f>
        <v>12695.3125</v>
      </c>
      <c r="I67" s="4">
        <f t="shared" si="6"/>
        <v>-8.4796071463384595E-2</v>
      </c>
      <c r="J67" s="4">
        <f t="shared" si="7"/>
        <v>-0.32059035663753849</v>
      </c>
      <c r="K67" s="4">
        <f t="shared" ref="K67:K130" si="9">(E67-D67)/D67</f>
        <v>-0.25764125111567443</v>
      </c>
      <c r="L67">
        <f t="shared" ref="L67:L130" si="10">(A67/256) * 5</f>
        <v>1.26953125</v>
      </c>
      <c r="M67" s="4">
        <f t="shared" ref="M67:M130" si="11">(B67-L67)/L67</f>
        <v>3.274968615384611E-2</v>
      </c>
      <c r="N67" s="4">
        <f t="shared" ref="N67:N130" si="12">(C67-L67)/L67</f>
        <v>2.1052455384615313E-2</v>
      </c>
      <c r="O67" s="4">
        <f t="shared" ref="O67:O130" si="13">(C67-B67)/B67</f>
        <v>-1.1326298062402205E-2</v>
      </c>
    </row>
    <row r="68" spans="1:15" x14ac:dyDescent="0.3">
      <c r="A68">
        <v>66</v>
      </c>
      <c r="B68">
        <v>1.331024</v>
      </c>
      <c r="C68">
        <v>1.3161750000000001</v>
      </c>
      <c r="D68">
        <v>11816.684681000001</v>
      </c>
      <c r="E68">
        <v>8828.4558059999999</v>
      </c>
      <c r="F68">
        <v>3.6749999999999998E-2</v>
      </c>
      <c r="G68">
        <v>1.2113750000000001</v>
      </c>
      <c r="H68">
        <f t="shared" si="8"/>
        <v>12890.625</v>
      </c>
      <c r="I68" s="4">
        <f t="shared" ref="I68:I131" si="14">(D68-$H68)/$H68</f>
        <v>-8.3311733837575702E-2</v>
      </c>
      <c r="J68" s="4">
        <f t="shared" ref="J68:J131" si="15">(E68-$H68)/$H68</f>
        <v>-0.31512585262545456</v>
      </c>
      <c r="K68" s="4">
        <f t="shared" si="9"/>
        <v>-0.25288217090236503</v>
      </c>
      <c r="L68">
        <f t="shared" si="10"/>
        <v>1.2890625</v>
      </c>
      <c r="M68" s="4">
        <f t="shared" si="11"/>
        <v>3.25519515151515E-2</v>
      </c>
      <c r="N68" s="4">
        <f t="shared" si="12"/>
        <v>2.1032727272727345E-2</v>
      </c>
      <c r="O68" s="4">
        <f t="shared" si="13"/>
        <v>-1.11560723172534E-2</v>
      </c>
    </row>
    <row r="69" spans="1:15" x14ac:dyDescent="0.3">
      <c r="A69">
        <v>67</v>
      </c>
      <c r="B69">
        <v>1.3511169999999999</v>
      </c>
      <c r="C69">
        <v>1.336136</v>
      </c>
      <c r="D69">
        <v>12206.030855999999</v>
      </c>
      <c r="E69">
        <v>8943.3438170000009</v>
      </c>
      <c r="F69">
        <v>3.7437999999999999E-2</v>
      </c>
      <c r="G69">
        <v>1.2197499999999999</v>
      </c>
      <c r="H69">
        <f t="shared" si="8"/>
        <v>13085.9375</v>
      </c>
      <c r="I69" s="4">
        <f t="shared" si="14"/>
        <v>-6.7240627123582142E-2</v>
      </c>
      <c r="J69" s="4">
        <f t="shared" si="15"/>
        <v>-0.31656835308895515</v>
      </c>
      <c r="K69" s="4">
        <f t="shared" si="9"/>
        <v>-0.26730122817903507</v>
      </c>
      <c r="L69">
        <f t="shared" si="10"/>
        <v>1.30859375</v>
      </c>
      <c r="M69" s="4">
        <f t="shared" si="11"/>
        <v>3.2495379104477536E-2</v>
      </c>
      <c r="N69" s="4">
        <f t="shared" si="12"/>
        <v>2.1047211940298498E-2</v>
      </c>
      <c r="O69" s="4">
        <f t="shared" si="13"/>
        <v>-1.1087862857176627E-2</v>
      </c>
    </row>
    <row r="70" spans="1:15" x14ac:dyDescent="0.3">
      <c r="A70">
        <v>68</v>
      </c>
      <c r="B70">
        <v>1.371122</v>
      </c>
      <c r="C70">
        <v>1.355524</v>
      </c>
      <c r="D70">
        <v>12206.030855999999</v>
      </c>
      <c r="E70">
        <v>9085.7539689999994</v>
      </c>
      <c r="F70">
        <v>3.8061999999999999E-2</v>
      </c>
      <c r="G70">
        <v>1.2282500000000001</v>
      </c>
      <c r="H70">
        <f t="shared" si="8"/>
        <v>13281.25</v>
      </c>
      <c r="I70" s="4">
        <f t="shared" si="14"/>
        <v>-8.0957676724705926E-2</v>
      </c>
      <c r="J70" s="4">
        <f t="shared" si="15"/>
        <v>-0.31589617174588241</v>
      </c>
      <c r="K70" s="4">
        <f t="shared" si="9"/>
        <v>-0.25563403237393884</v>
      </c>
      <c r="L70">
        <f t="shared" si="10"/>
        <v>1.328125</v>
      </c>
      <c r="M70" s="4">
        <f t="shared" si="11"/>
        <v>3.2374211764705847E-2</v>
      </c>
      <c r="N70" s="4">
        <f t="shared" si="12"/>
        <v>2.0629835294117611E-2</v>
      </c>
      <c r="O70" s="4">
        <f t="shared" si="13"/>
        <v>-1.1376084695599663E-2</v>
      </c>
    </row>
    <row r="71" spans="1:15" x14ac:dyDescent="0.3">
      <c r="A71">
        <v>69</v>
      </c>
      <c r="B71">
        <v>1.390906</v>
      </c>
      <c r="C71">
        <v>1.375308</v>
      </c>
      <c r="D71">
        <v>12397.561351</v>
      </c>
      <c r="E71">
        <v>9254.9107239999994</v>
      </c>
      <c r="F71">
        <v>3.8811999999999999E-2</v>
      </c>
      <c r="G71">
        <v>1.2363120000000001</v>
      </c>
      <c r="H71">
        <f t="shared" si="8"/>
        <v>13476.5625</v>
      </c>
      <c r="I71" s="4">
        <f t="shared" si="14"/>
        <v>-8.0065012795362295E-2</v>
      </c>
      <c r="J71" s="4">
        <f t="shared" si="15"/>
        <v>-0.31325879845101456</v>
      </c>
      <c r="K71" s="4">
        <f t="shared" si="9"/>
        <v>-0.25348941925151364</v>
      </c>
      <c r="L71">
        <f t="shared" si="10"/>
        <v>1.34765625</v>
      </c>
      <c r="M71" s="4">
        <f t="shared" si="11"/>
        <v>3.2092568115942008E-2</v>
      </c>
      <c r="N71" s="4">
        <f t="shared" si="12"/>
        <v>2.0518399999999982E-2</v>
      </c>
      <c r="O71" s="4">
        <f t="shared" si="13"/>
        <v>-1.1214273286620377E-2</v>
      </c>
    </row>
    <row r="72" spans="1:15" x14ac:dyDescent="0.3">
      <c r="A72">
        <v>70</v>
      </c>
      <c r="B72">
        <v>1.4106030000000001</v>
      </c>
      <c r="C72">
        <v>1.395092</v>
      </c>
      <c r="D72">
        <v>12587.041638000001</v>
      </c>
      <c r="E72">
        <v>9394.4497620000002</v>
      </c>
      <c r="F72">
        <v>3.95E-2</v>
      </c>
      <c r="G72">
        <v>1.2443120000000001</v>
      </c>
      <c r="H72">
        <f t="shared" si="8"/>
        <v>13671.875</v>
      </c>
      <c r="I72" s="4">
        <f t="shared" si="14"/>
        <v>-7.934781162057139E-2</v>
      </c>
      <c r="J72" s="4">
        <f t="shared" si="15"/>
        <v>-0.31286310312228571</v>
      </c>
      <c r="K72" s="4">
        <f t="shared" si="9"/>
        <v>-0.25364116269875808</v>
      </c>
      <c r="L72">
        <f t="shared" si="10"/>
        <v>1.3671875</v>
      </c>
      <c r="M72" s="4">
        <f t="shared" si="11"/>
        <v>3.1755337142857179E-2</v>
      </c>
      <c r="N72" s="4">
        <f t="shared" si="12"/>
        <v>2.0410148571428571E-2</v>
      </c>
      <c r="O72" s="4">
        <f t="shared" si="13"/>
        <v>-1.0996006672323859E-2</v>
      </c>
    </row>
    <row r="73" spans="1:15" x14ac:dyDescent="0.3">
      <c r="A73">
        <v>71</v>
      </c>
      <c r="B73">
        <v>1.4306080000000001</v>
      </c>
      <c r="C73">
        <v>1.415009</v>
      </c>
      <c r="D73">
        <v>12774.50446</v>
      </c>
      <c r="E73">
        <v>9532.7123730000003</v>
      </c>
      <c r="F73">
        <v>4.0250000000000001E-2</v>
      </c>
      <c r="G73">
        <v>1.2522500000000001</v>
      </c>
      <c r="H73">
        <f t="shared" si="8"/>
        <v>13867.1875</v>
      </c>
      <c r="I73" s="4">
        <f t="shared" si="14"/>
        <v>-7.8796298095774639E-2</v>
      </c>
      <c r="J73" s="4">
        <f t="shared" si="15"/>
        <v>-0.31257060070760562</v>
      </c>
      <c r="K73" s="4">
        <f t="shared" si="9"/>
        <v>-0.25377047674536563</v>
      </c>
      <c r="L73">
        <f t="shared" si="10"/>
        <v>1.38671875</v>
      </c>
      <c r="M73" s="4">
        <f t="shared" si="11"/>
        <v>3.1649712676056409E-2</v>
      </c>
      <c r="N73" s="4">
        <f t="shared" si="12"/>
        <v>2.0400856338028142E-2</v>
      </c>
      <c r="O73" s="4">
        <f t="shared" si="13"/>
        <v>-1.0903755606008172E-2</v>
      </c>
    </row>
    <row r="74" spans="1:15" x14ac:dyDescent="0.3">
      <c r="A74">
        <v>72</v>
      </c>
      <c r="B74">
        <v>1.451141</v>
      </c>
      <c r="C74">
        <v>1.435675</v>
      </c>
      <c r="D74">
        <v>12886.027131000001</v>
      </c>
      <c r="E74">
        <v>9642.4151600000005</v>
      </c>
      <c r="F74">
        <v>4.1000000000000002E-2</v>
      </c>
      <c r="G74">
        <v>1.2605</v>
      </c>
      <c r="H74">
        <f t="shared" si="8"/>
        <v>14062.5</v>
      </c>
      <c r="I74" s="4">
        <f t="shared" si="14"/>
        <v>-8.3660292906666614E-2</v>
      </c>
      <c r="J74" s="4">
        <f t="shared" si="15"/>
        <v>-0.31431714417777773</v>
      </c>
      <c r="K74" s="4">
        <f t="shared" si="9"/>
        <v>-0.25171543859292533</v>
      </c>
      <c r="L74">
        <f t="shared" si="10"/>
        <v>1.40625</v>
      </c>
      <c r="M74" s="4">
        <f t="shared" si="11"/>
        <v>3.1922488888888899E-2</v>
      </c>
      <c r="N74" s="4">
        <f t="shared" si="12"/>
        <v>2.0924444444444468E-2</v>
      </c>
      <c r="O74" s="4">
        <f t="shared" si="13"/>
        <v>-1.0657820294513062E-2</v>
      </c>
    </row>
    <row r="75" spans="1:15" x14ac:dyDescent="0.3">
      <c r="A75">
        <v>73</v>
      </c>
      <c r="B75">
        <v>1.470882</v>
      </c>
      <c r="C75">
        <v>1.455371</v>
      </c>
      <c r="D75">
        <v>13106.955402</v>
      </c>
      <c r="E75">
        <v>9778.4239230000003</v>
      </c>
      <c r="F75">
        <v>4.1812000000000002E-2</v>
      </c>
      <c r="G75">
        <v>1.2681880000000001</v>
      </c>
      <c r="H75">
        <f t="shared" si="8"/>
        <v>14257.8125</v>
      </c>
      <c r="I75" s="4">
        <f t="shared" si="14"/>
        <v>-8.0717648517260307E-2</v>
      </c>
      <c r="J75" s="4">
        <f t="shared" si="15"/>
        <v>-0.31417081526356161</v>
      </c>
      <c r="K75" s="4">
        <f t="shared" si="9"/>
        <v>-0.25395153770738371</v>
      </c>
      <c r="L75">
        <f t="shared" si="10"/>
        <v>1.42578125</v>
      </c>
      <c r="M75" s="4">
        <f t="shared" si="11"/>
        <v>3.1632306849315082E-2</v>
      </c>
      <c r="N75" s="4">
        <f t="shared" si="12"/>
        <v>2.0753358904109568E-2</v>
      </c>
      <c r="O75" s="4">
        <f t="shared" si="13"/>
        <v>-1.0545373456198425E-2</v>
      </c>
    </row>
    <row r="76" spans="1:15" x14ac:dyDescent="0.3">
      <c r="A76">
        <v>74</v>
      </c>
      <c r="B76">
        <v>1.4909300000000001</v>
      </c>
      <c r="C76">
        <v>1.4752879999999999</v>
      </c>
      <c r="D76">
        <v>13288.937685999999</v>
      </c>
      <c r="E76">
        <v>9886.3456850000002</v>
      </c>
      <c r="F76">
        <v>4.2625000000000003E-2</v>
      </c>
      <c r="G76">
        <v>1.2759370000000001</v>
      </c>
      <c r="H76">
        <f t="shared" si="8"/>
        <v>14453.125</v>
      </c>
      <c r="I76" s="4">
        <f t="shared" si="14"/>
        <v>-8.0549176320000054E-2</v>
      </c>
      <c r="J76" s="4">
        <f t="shared" si="15"/>
        <v>-0.31597175801081079</v>
      </c>
      <c r="K76" s="4">
        <f t="shared" si="9"/>
        <v>-0.25604695284143414</v>
      </c>
      <c r="L76">
        <f t="shared" si="10"/>
        <v>1.4453125</v>
      </c>
      <c r="M76" s="4">
        <f t="shared" si="11"/>
        <v>3.1562378378378442E-2</v>
      </c>
      <c r="N76" s="4">
        <f t="shared" si="12"/>
        <v>2.0739805405405359E-2</v>
      </c>
      <c r="O76" s="4">
        <f t="shared" si="13"/>
        <v>-1.0491438229829807E-2</v>
      </c>
    </row>
    <row r="77" spans="1:15" x14ac:dyDescent="0.3">
      <c r="A77">
        <v>75</v>
      </c>
      <c r="B77">
        <v>1.510891</v>
      </c>
      <c r="C77">
        <v>1.495117</v>
      </c>
      <c r="D77">
        <v>13397.213529000001</v>
      </c>
      <c r="E77">
        <v>9993.4897710000005</v>
      </c>
      <c r="F77">
        <v>4.3312999999999997E-2</v>
      </c>
      <c r="G77">
        <v>1.2835000000000001</v>
      </c>
      <c r="H77">
        <f t="shared" si="8"/>
        <v>14648.4375</v>
      </c>
      <c r="I77" s="4">
        <f t="shared" si="14"/>
        <v>-8.5416889753599956E-2</v>
      </c>
      <c r="J77" s="4">
        <f t="shared" si="15"/>
        <v>-0.31777776496639998</v>
      </c>
      <c r="K77" s="4">
        <f t="shared" si="9"/>
        <v>-0.25406206675979298</v>
      </c>
      <c r="L77">
        <f t="shared" si="10"/>
        <v>1.46484375</v>
      </c>
      <c r="M77" s="4">
        <f t="shared" si="11"/>
        <v>3.1434922666666656E-2</v>
      </c>
      <c r="N77" s="4">
        <f t="shared" si="12"/>
        <v>2.0666538666666685E-2</v>
      </c>
      <c r="O77" s="4">
        <f t="shared" si="13"/>
        <v>-1.0440197208137421E-2</v>
      </c>
    </row>
    <row r="78" spans="1:15" x14ac:dyDescent="0.3">
      <c r="A78">
        <v>76</v>
      </c>
      <c r="B78">
        <v>1.5311159999999999</v>
      </c>
      <c r="C78">
        <v>1.5151650000000001</v>
      </c>
      <c r="D78">
        <v>13576.171313999999</v>
      </c>
      <c r="E78">
        <v>10152.766051000001</v>
      </c>
      <c r="F78">
        <v>4.4249999999999998E-2</v>
      </c>
      <c r="G78">
        <v>1.2906249999999999</v>
      </c>
      <c r="H78">
        <f t="shared" si="8"/>
        <v>14843.75</v>
      </c>
      <c r="I78" s="4">
        <f t="shared" si="14"/>
        <v>-8.5394774635789525E-2</v>
      </c>
      <c r="J78" s="4">
        <f t="shared" si="15"/>
        <v>-0.31602418182736841</v>
      </c>
      <c r="K78" s="4">
        <f t="shared" si="9"/>
        <v>-0.25216279198463853</v>
      </c>
      <c r="L78">
        <f t="shared" si="10"/>
        <v>1.484375</v>
      </c>
      <c r="M78" s="4">
        <f t="shared" si="11"/>
        <v>3.1488673684210475E-2</v>
      </c>
      <c r="N78" s="4">
        <f t="shared" si="12"/>
        <v>2.0742736842105328E-2</v>
      </c>
      <c r="O78" s="4">
        <f t="shared" si="13"/>
        <v>-1.0417891263627202E-2</v>
      </c>
    </row>
    <row r="79" spans="1:15" x14ac:dyDescent="0.3">
      <c r="A79">
        <v>77</v>
      </c>
      <c r="B79">
        <v>1.5507690000000001</v>
      </c>
      <c r="C79">
        <v>1.5348619999999999</v>
      </c>
      <c r="D79">
        <v>13788.478305000001</v>
      </c>
      <c r="E79">
        <v>10310.339144</v>
      </c>
      <c r="F79">
        <v>4.5249999999999999E-2</v>
      </c>
      <c r="G79">
        <v>1.2975000000000001</v>
      </c>
      <c r="H79">
        <f t="shared" si="8"/>
        <v>15039.0625</v>
      </c>
      <c r="I79" s="4">
        <f t="shared" si="14"/>
        <v>-8.3155728290909059E-2</v>
      </c>
      <c r="J79" s="4">
        <f t="shared" si="15"/>
        <v>-0.31442939717818186</v>
      </c>
      <c r="K79" s="4">
        <f t="shared" si="9"/>
        <v>-0.25224967426164441</v>
      </c>
      <c r="L79">
        <f t="shared" si="10"/>
        <v>1.50390625</v>
      </c>
      <c r="M79" s="4">
        <f t="shared" si="11"/>
        <v>3.1160685714285756E-2</v>
      </c>
      <c r="N79" s="4">
        <f t="shared" si="12"/>
        <v>2.0583563636363603E-2</v>
      </c>
      <c r="O79" s="4">
        <f t="shared" si="13"/>
        <v>-1.0257491605777595E-2</v>
      </c>
    </row>
    <row r="80" spans="1:15" x14ac:dyDescent="0.3">
      <c r="A80">
        <v>78</v>
      </c>
      <c r="B80">
        <v>1.5709059999999999</v>
      </c>
      <c r="C80">
        <v>1.554778</v>
      </c>
      <c r="D80">
        <v>13963.398998999999</v>
      </c>
      <c r="E80">
        <v>10440.368632</v>
      </c>
      <c r="F80">
        <v>4.6124999999999999E-2</v>
      </c>
      <c r="G80">
        <v>1.3049379999999999</v>
      </c>
      <c r="H80">
        <f t="shared" si="8"/>
        <v>15234.375</v>
      </c>
      <c r="I80" s="4">
        <f t="shared" si="14"/>
        <v>-8.3428168270769293E-2</v>
      </c>
      <c r="J80" s="4">
        <f t="shared" si="15"/>
        <v>-0.3146834949251282</v>
      </c>
      <c r="K80" s="4">
        <f t="shared" si="9"/>
        <v>-0.25230464067182384</v>
      </c>
      <c r="L80">
        <f t="shared" si="10"/>
        <v>1.5234375</v>
      </c>
      <c r="M80" s="4">
        <f t="shared" si="11"/>
        <v>3.1158810256410201E-2</v>
      </c>
      <c r="N80" s="4">
        <f t="shared" si="12"/>
        <v>2.0572225641025638E-2</v>
      </c>
      <c r="O80" s="4">
        <f t="shared" si="13"/>
        <v>-1.0266686867323647E-2</v>
      </c>
    </row>
    <row r="81" spans="1:15" x14ac:dyDescent="0.3">
      <c r="A81">
        <v>79</v>
      </c>
      <c r="B81">
        <v>1.590646</v>
      </c>
      <c r="C81">
        <v>1.574651</v>
      </c>
      <c r="D81">
        <v>14239.560265</v>
      </c>
      <c r="E81">
        <v>10646.033314</v>
      </c>
      <c r="F81">
        <v>4.7188000000000001E-2</v>
      </c>
      <c r="G81">
        <v>1.3120000000000001</v>
      </c>
      <c r="H81">
        <f t="shared" si="8"/>
        <v>15429.6875</v>
      </c>
      <c r="I81" s="4">
        <f t="shared" si="14"/>
        <v>-7.7132296749367085E-2</v>
      </c>
      <c r="J81" s="4">
        <f t="shared" si="15"/>
        <v>-0.3100292333205063</v>
      </c>
      <c r="K81" s="4">
        <f t="shared" si="9"/>
        <v>-0.25236221372879591</v>
      </c>
      <c r="L81">
        <f t="shared" si="10"/>
        <v>1.54296875</v>
      </c>
      <c r="M81" s="4">
        <f t="shared" si="11"/>
        <v>3.0899686075949371E-2</v>
      </c>
      <c r="N81" s="4">
        <f t="shared" si="12"/>
        <v>2.0533306329113939E-2</v>
      </c>
      <c r="O81" s="4">
        <f t="shared" si="13"/>
        <v>-1.0055662919342193E-2</v>
      </c>
    </row>
    <row r="82" spans="1:15" x14ac:dyDescent="0.3">
      <c r="A82">
        <v>80</v>
      </c>
      <c r="B82">
        <v>1.610298</v>
      </c>
      <c r="C82">
        <v>1.5962419999999999</v>
      </c>
      <c r="D82">
        <v>14375.957329999999</v>
      </c>
      <c r="E82">
        <v>10722.412211000001</v>
      </c>
      <c r="F82">
        <v>4.8375000000000001E-2</v>
      </c>
      <c r="G82">
        <v>1.3183750000000001</v>
      </c>
      <c r="H82">
        <f t="shared" si="8"/>
        <v>15625</v>
      </c>
      <c r="I82" s="4">
        <f t="shared" si="14"/>
        <v>-7.9938730880000045E-2</v>
      </c>
      <c r="J82" s="4">
        <f t="shared" si="15"/>
        <v>-0.31376561849599993</v>
      </c>
      <c r="K82" s="4">
        <f t="shared" si="9"/>
        <v>-0.25414273534157733</v>
      </c>
      <c r="L82">
        <f t="shared" si="10"/>
        <v>1.5625</v>
      </c>
      <c r="M82" s="4">
        <f t="shared" si="11"/>
        <v>3.0590720000000005E-2</v>
      </c>
      <c r="N82" s="4">
        <f t="shared" si="12"/>
        <v>2.1594879999999962E-2</v>
      </c>
      <c r="O82" s="4">
        <f t="shared" si="13"/>
        <v>-8.7288191378242213E-3</v>
      </c>
    </row>
    <row r="83" spans="1:15" x14ac:dyDescent="0.3">
      <c r="A83">
        <v>81</v>
      </c>
      <c r="B83">
        <v>1.6302589999999999</v>
      </c>
      <c r="C83">
        <v>1.616071</v>
      </c>
      <c r="D83">
        <v>14477.529759999999</v>
      </c>
      <c r="E83">
        <v>10823.626620999999</v>
      </c>
      <c r="F83">
        <v>4.9500000000000002E-2</v>
      </c>
      <c r="G83">
        <v>1.3250630000000001</v>
      </c>
      <c r="H83">
        <f t="shared" si="8"/>
        <v>15820.3125</v>
      </c>
      <c r="I83" s="4">
        <f t="shared" si="14"/>
        <v>-8.4877131219753127E-2</v>
      </c>
      <c r="J83" s="4">
        <f t="shared" si="15"/>
        <v>-0.31583989753679015</v>
      </c>
      <c r="K83" s="4">
        <f t="shared" si="9"/>
        <v>-0.25238443295039031</v>
      </c>
      <c r="L83">
        <f t="shared" si="10"/>
        <v>1.58203125</v>
      </c>
      <c r="M83" s="4">
        <f t="shared" si="11"/>
        <v>3.048470123456784E-2</v>
      </c>
      <c r="N83" s="4">
        <f t="shared" si="12"/>
        <v>2.1516483950617307E-2</v>
      </c>
      <c r="O83" s="4">
        <f t="shared" si="13"/>
        <v>-8.7029116232450604E-3</v>
      </c>
    </row>
    <row r="84" spans="1:15" x14ac:dyDescent="0.3">
      <c r="A84">
        <v>82</v>
      </c>
      <c r="B84">
        <v>1.6501760000000001</v>
      </c>
      <c r="C84">
        <v>1.6358109999999999</v>
      </c>
      <c r="D84">
        <v>14678.833796999999</v>
      </c>
      <c r="E84">
        <v>10974.125978</v>
      </c>
      <c r="F84">
        <v>5.0625000000000003E-2</v>
      </c>
      <c r="G84">
        <v>1.33175</v>
      </c>
      <c r="H84">
        <f t="shared" si="8"/>
        <v>16015.625</v>
      </c>
      <c r="I84" s="4">
        <f t="shared" si="14"/>
        <v>-8.3467938528780525E-2</v>
      </c>
      <c r="J84" s="4">
        <f t="shared" si="15"/>
        <v>-0.31478628039804879</v>
      </c>
      <c r="K84" s="4">
        <f t="shared" si="9"/>
        <v>-0.25238434266877197</v>
      </c>
      <c r="L84">
        <f t="shared" si="10"/>
        <v>1.6015625</v>
      </c>
      <c r="M84" s="4">
        <f t="shared" si="11"/>
        <v>3.0353795121951275E-2</v>
      </c>
      <c r="N84" s="4">
        <f t="shared" si="12"/>
        <v>2.1384429268292624E-2</v>
      </c>
      <c r="O84" s="4">
        <f t="shared" si="13"/>
        <v>-8.7051320586411275E-3</v>
      </c>
    </row>
    <row r="85" spans="1:15" x14ac:dyDescent="0.3">
      <c r="A85">
        <v>83</v>
      </c>
      <c r="B85">
        <v>1.6700919999999999</v>
      </c>
      <c r="C85">
        <v>1.6555960000000001</v>
      </c>
      <c r="D85">
        <v>14877.720251999999</v>
      </c>
      <c r="E85">
        <v>11147.732649</v>
      </c>
      <c r="F85">
        <v>5.1624999999999997E-2</v>
      </c>
      <c r="G85">
        <v>1.338625</v>
      </c>
      <c r="H85">
        <f t="shared" si="8"/>
        <v>16210.9375</v>
      </c>
      <c r="I85" s="4">
        <f t="shared" si="14"/>
        <v>-8.2241835057349444E-2</v>
      </c>
      <c r="J85" s="4">
        <f t="shared" si="15"/>
        <v>-0.31233263659180727</v>
      </c>
      <c r="K85" s="4">
        <f t="shared" si="9"/>
        <v>-0.25070962081697834</v>
      </c>
      <c r="L85">
        <f t="shared" si="10"/>
        <v>1.62109375</v>
      </c>
      <c r="M85" s="4">
        <f t="shared" si="11"/>
        <v>3.0225426506024042E-2</v>
      </c>
      <c r="N85" s="4">
        <f t="shared" si="12"/>
        <v>2.1283315662650643E-2</v>
      </c>
      <c r="O85" s="4">
        <f t="shared" si="13"/>
        <v>-8.6797613544642108E-3</v>
      </c>
    </row>
    <row r="86" spans="1:15" x14ac:dyDescent="0.3">
      <c r="A86">
        <v>84</v>
      </c>
      <c r="B86">
        <v>1.690097</v>
      </c>
      <c r="C86">
        <v>1.6753800000000001</v>
      </c>
      <c r="D86">
        <v>15008.989541999999</v>
      </c>
      <c r="E86">
        <v>11245.995086000001</v>
      </c>
      <c r="F86">
        <v>5.2937999999999999E-2</v>
      </c>
      <c r="G86">
        <v>1.344875</v>
      </c>
      <c r="H86">
        <f t="shared" si="8"/>
        <v>16406.25</v>
      </c>
      <c r="I86" s="4">
        <f t="shared" si="14"/>
        <v>-8.5166351725714323E-2</v>
      </c>
      <c r="J86" s="4">
        <f t="shared" si="15"/>
        <v>-0.31452982332952378</v>
      </c>
      <c r="K86" s="4">
        <f t="shared" si="9"/>
        <v>-0.25071604224054689</v>
      </c>
      <c r="L86">
        <f t="shared" si="10"/>
        <v>1.640625</v>
      </c>
      <c r="M86" s="4">
        <f t="shared" si="11"/>
        <v>3.0154361904761881E-2</v>
      </c>
      <c r="N86" s="4">
        <f t="shared" si="12"/>
        <v>2.1184000000000057E-2</v>
      </c>
      <c r="O86" s="4">
        <f t="shared" si="13"/>
        <v>-8.7077842277690984E-3</v>
      </c>
    </row>
    <row r="87" spans="1:15" x14ac:dyDescent="0.3">
      <c r="A87">
        <v>85</v>
      </c>
      <c r="B87">
        <v>1.7101900000000001</v>
      </c>
      <c r="C87">
        <v>1.6952970000000001</v>
      </c>
      <c r="D87">
        <v>15268.412553</v>
      </c>
      <c r="E87">
        <v>11440.499486000001</v>
      </c>
      <c r="F87">
        <v>5.425E-2</v>
      </c>
      <c r="G87">
        <v>1.3514999999999999</v>
      </c>
      <c r="H87">
        <f t="shared" si="8"/>
        <v>16601.5625</v>
      </c>
      <c r="I87" s="4">
        <f t="shared" si="14"/>
        <v>-8.0302679160470583E-2</v>
      </c>
      <c r="J87" s="4">
        <f t="shared" si="15"/>
        <v>-0.31087814860799995</v>
      </c>
      <c r="K87" s="4">
        <f t="shared" si="9"/>
        <v>-0.25070799296996171</v>
      </c>
      <c r="L87">
        <f t="shared" si="10"/>
        <v>1.66015625</v>
      </c>
      <c r="M87" s="4">
        <f t="shared" si="11"/>
        <v>3.0137976470588294E-2</v>
      </c>
      <c r="N87" s="4">
        <f t="shared" si="12"/>
        <v>2.1167134117647091E-2</v>
      </c>
      <c r="O87" s="4">
        <f t="shared" si="13"/>
        <v>-8.7083891263544082E-3</v>
      </c>
    </row>
    <row r="88" spans="1:15" x14ac:dyDescent="0.3">
      <c r="A88">
        <v>86</v>
      </c>
      <c r="B88">
        <v>1.729886</v>
      </c>
      <c r="C88">
        <v>1.7150810000000001</v>
      </c>
      <c r="D88">
        <v>15555.400212</v>
      </c>
      <c r="E88">
        <v>11536.755249</v>
      </c>
      <c r="F88">
        <v>5.5562E-2</v>
      </c>
      <c r="G88">
        <v>1.3578129999999999</v>
      </c>
      <c r="H88">
        <f t="shared" si="8"/>
        <v>16796.875</v>
      </c>
      <c r="I88" s="4">
        <f t="shared" si="14"/>
        <v>-7.3911057146046483E-2</v>
      </c>
      <c r="J88" s="4">
        <f t="shared" si="15"/>
        <v>-0.31316061773395348</v>
      </c>
      <c r="K88" s="4">
        <f t="shared" si="9"/>
        <v>-0.25834404182670095</v>
      </c>
      <c r="L88">
        <f t="shared" si="10"/>
        <v>1.6796875</v>
      </c>
      <c r="M88" s="4">
        <f t="shared" si="11"/>
        <v>2.9885618604651183E-2</v>
      </c>
      <c r="N88" s="4">
        <f t="shared" si="12"/>
        <v>2.1071479069767488E-2</v>
      </c>
      <c r="O88" s="4">
        <f t="shared" si="13"/>
        <v>-8.5583674299924712E-3</v>
      </c>
    </row>
    <row r="89" spans="1:15" x14ac:dyDescent="0.3">
      <c r="A89">
        <v>87</v>
      </c>
      <c r="B89">
        <v>1.749803</v>
      </c>
      <c r="C89">
        <v>1.735174</v>
      </c>
      <c r="D89">
        <v>15649.940844000001</v>
      </c>
      <c r="E89">
        <v>11632.355765</v>
      </c>
      <c r="F89">
        <v>5.7000000000000002E-2</v>
      </c>
      <c r="G89">
        <v>1.3640000000000001</v>
      </c>
      <c r="H89">
        <f t="shared" si="8"/>
        <v>16992.1875</v>
      </c>
      <c r="I89" s="4">
        <f t="shared" si="14"/>
        <v>-7.8991987111724102E-2</v>
      </c>
      <c r="J89" s="4">
        <f t="shared" si="15"/>
        <v>-0.31542917796781605</v>
      </c>
      <c r="K89" s="4">
        <f t="shared" si="9"/>
        <v>-0.25671567190238259</v>
      </c>
      <c r="L89">
        <f t="shared" si="10"/>
        <v>1.69921875</v>
      </c>
      <c r="M89" s="4">
        <f t="shared" si="11"/>
        <v>2.9769121839080457E-2</v>
      </c>
      <c r="N89" s="4">
        <f t="shared" si="12"/>
        <v>2.1159871264367813E-2</v>
      </c>
      <c r="O89" s="4">
        <f t="shared" si="13"/>
        <v>-8.3603697101902342E-3</v>
      </c>
    </row>
    <row r="90" spans="1:15" x14ac:dyDescent="0.3">
      <c r="A90">
        <v>88</v>
      </c>
      <c r="B90">
        <v>1.7688390000000001</v>
      </c>
      <c r="C90">
        <v>1.755179</v>
      </c>
      <c r="D90">
        <v>15775.136004</v>
      </c>
      <c r="E90">
        <v>11798.099985999999</v>
      </c>
      <c r="F90">
        <v>5.8437999999999997E-2</v>
      </c>
      <c r="G90">
        <v>1.3705000000000001</v>
      </c>
      <c r="H90">
        <f t="shared" si="8"/>
        <v>17187.5</v>
      </c>
      <c r="I90" s="4">
        <f t="shared" si="14"/>
        <v>-8.217390522181818E-2</v>
      </c>
      <c r="J90" s="4">
        <f t="shared" si="15"/>
        <v>-0.31356509172363639</v>
      </c>
      <c r="K90" s="4">
        <f t="shared" si="9"/>
        <v>-0.25210787513917909</v>
      </c>
      <c r="L90">
        <f t="shared" si="10"/>
        <v>1.71875</v>
      </c>
      <c r="M90" s="4">
        <f t="shared" si="11"/>
        <v>2.9142690909090937E-2</v>
      </c>
      <c r="N90" s="4">
        <f t="shared" si="12"/>
        <v>2.1195054545454572E-2</v>
      </c>
      <c r="O90" s="4">
        <f t="shared" si="13"/>
        <v>-7.7225796129551669E-3</v>
      </c>
    </row>
    <row r="91" spans="1:15" x14ac:dyDescent="0.3">
      <c r="A91">
        <v>89</v>
      </c>
      <c r="B91">
        <v>1.788799</v>
      </c>
      <c r="C91">
        <v>1.775096</v>
      </c>
      <c r="D91">
        <v>16053.291089</v>
      </c>
      <c r="E91">
        <v>11938.612123999999</v>
      </c>
      <c r="F91">
        <v>5.9937999999999998E-2</v>
      </c>
      <c r="G91">
        <v>1.3764380000000001</v>
      </c>
      <c r="H91">
        <f t="shared" si="8"/>
        <v>17382.8125</v>
      </c>
      <c r="I91" s="4">
        <f t="shared" si="14"/>
        <v>-7.6484827239550551E-2</v>
      </c>
      <c r="J91" s="4">
        <f t="shared" si="15"/>
        <v>-0.31319444859685397</v>
      </c>
      <c r="K91" s="4">
        <f t="shared" si="9"/>
        <v>-0.25631373294037207</v>
      </c>
      <c r="L91">
        <f t="shared" si="10"/>
        <v>1.73828125</v>
      </c>
      <c r="M91" s="4">
        <f t="shared" si="11"/>
        <v>2.9061896629213498E-2</v>
      </c>
      <c r="N91" s="4">
        <f t="shared" si="12"/>
        <v>2.1178822471910115E-2</v>
      </c>
      <c r="O91" s="4">
        <f t="shared" si="13"/>
        <v>-7.6604470373697773E-3</v>
      </c>
    </row>
    <row r="92" spans="1:15" x14ac:dyDescent="0.3">
      <c r="A92">
        <v>90</v>
      </c>
      <c r="B92">
        <v>1.8088040000000001</v>
      </c>
      <c r="C92">
        <v>1.7948360000000001</v>
      </c>
      <c r="D92">
        <v>16236.05889</v>
      </c>
      <c r="E92">
        <v>12077.712315999999</v>
      </c>
      <c r="F92">
        <v>6.1624999999999999E-2</v>
      </c>
      <c r="G92">
        <v>1.3827499999999999</v>
      </c>
      <c r="H92">
        <f t="shared" si="8"/>
        <v>17578.125</v>
      </c>
      <c r="I92" s="4">
        <f t="shared" si="14"/>
        <v>-7.6348649813333322E-2</v>
      </c>
      <c r="J92" s="4">
        <f t="shared" si="15"/>
        <v>-0.31291236602311118</v>
      </c>
      <c r="K92" s="4">
        <f t="shared" si="9"/>
        <v>-0.25611797802489994</v>
      </c>
      <c r="L92">
        <f t="shared" si="10"/>
        <v>1.7578125</v>
      </c>
      <c r="M92" s="4">
        <f t="shared" si="11"/>
        <v>2.9008497777777822E-2</v>
      </c>
      <c r="N92" s="4">
        <f t="shared" si="12"/>
        <v>2.1062257777777833E-2</v>
      </c>
      <c r="O92" s="4">
        <f t="shared" si="13"/>
        <v>-7.7222297164313992E-3</v>
      </c>
    </row>
    <row r="93" spans="1:15" x14ac:dyDescent="0.3">
      <c r="A93">
        <v>91</v>
      </c>
      <c r="B93">
        <v>1.828721</v>
      </c>
      <c r="C93">
        <v>1.814532</v>
      </c>
      <c r="D93">
        <v>16506.298610000002</v>
      </c>
      <c r="E93">
        <v>12238.239557000001</v>
      </c>
      <c r="F93">
        <v>6.3250000000000001E-2</v>
      </c>
      <c r="G93">
        <v>1.3885000000000001</v>
      </c>
      <c r="H93">
        <f t="shared" si="8"/>
        <v>17773.4375</v>
      </c>
      <c r="I93" s="4">
        <f t="shared" si="14"/>
        <v>-7.1293968316483422E-2</v>
      </c>
      <c r="J93" s="4">
        <f t="shared" si="15"/>
        <v>-0.31143091723252742</v>
      </c>
      <c r="K93" s="4">
        <f t="shared" si="9"/>
        <v>-0.25857154010374472</v>
      </c>
      <c r="L93">
        <f t="shared" si="10"/>
        <v>1.77734375</v>
      </c>
      <c r="M93" s="4">
        <f t="shared" si="11"/>
        <v>2.8906760439560461E-2</v>
      </c>
      <c r="N93" s="4">
        <f t="shared" si="12"/>
        <v>2.092349890109892E-2</v>
      </c>
      <c r="O93" s="4">
        <f t="shared" si="13"/>
        <v>-7.7589747151151035E-3</v>
      </c>
    </row>
    <row r="94" spans="1:15" x14ac:dyDescent="0.3">
      <c r="A94">
        <v>92</v>
      </c>
      <c r="B94">
        <v>1.8485050000000001</v>
      </c>
      <c r="C94">
        <v>1.834449</v>
      </c>
      <c r="D94">
        <v>16565.724663000001</v>
      </c>
      <c r="E94">
        <v>12374.352616</v>
      </c>
      <c r="F94">
        <v>6.5061999999999995E-2</v>
      </c>
      <c r="G94">
        <v>1.3943129999999999</v>
      </c>
      <c r="H94">
        <f t="shared" si="8"/>
        <v>17968.75</v>
      </c>
      <c r="I94" s="4">
        <f t="shared" si="14"/>
        <v>-7.8081410059130385E-2</v>
      </c>
      <c r="J94" s="4">
        <f t="shared" si="15"/>
        <v>-0.3113403761530435</v>
      </c>
      <c r="K94" s="4">
        <f t="shared" si="9"/>
        <v>-0.25301471153637756</v>
      </c>
      <c r="L94">
        <f t="shared" si="10"/>
        <v>1.796875</v>
      </c>
      <c r="M94" s="4">
        <f t="shared" si="11"/>
        <v>2.8733217391304383E-2</v>
      </c>
      <c r="N94" s="4">
        <f t="shared" si="12"/>
        <v>2.0910747826086956E-2</v>
      </c>
      <c r="O94" s="4">
        <f t="shared" si="13"/>
        <v>-7.6039826778937945E-3</v>
      </c>
    </row>
    <row r="95" spans="1:15" x14ac:dyDescent="0.3">
      <c r="A95">
        <v>93</v>
      </c>
      <c r="B95">
        <v>1.868466</v>
      </c>
      <c r="C95">
        <v>1.8541449999999999</v>
      </c>
      <c r="D95">
        <v>16683.902238999999</v>
      </c>
      <c r="E95">
        <v>12553.745863</v>
      </c>
      <c r="F95">
        <v>6.7000000000000004E-2</v>
      </c>
      <c r="G95">
        <v>1.4001870000000001</v>
      </c>
      <c r="H95">
        <f t="shared" si="8"/>
        <v>18164.0625</v>
      </c>
      <c r="I95" s="4">
        <f t="shared" si="14"/>
        <v>-8.1488392863655959E-2</v>
      </c>
      <c r="J95" s="4">
        <f t="shared" si="15"/>
        <v>-0.30886904496172041</v>
      </c>
      <c r="K95" s="4">
        <f t="shared" si="9"/>
        <v>-0.24755337910967959</v>
      </c>
      <c r="L95">
        <f t="shared" si="10"/>
        <v>1.81640625</v>
      </c>
      <c r="M95" s="4">
        <f t="shared" si="11"/>
        <v>2.8660851612903205E-2</v>
      </c>
      <c r="N95" s="4">
        <f t="shared" si="12"/>
        <v>2.0776602150537598E-2</v>
      </c>
      <c r="O95" s="4">
        <f t="shared" si="13"/>
        <v>-7.664576181744826E-3</v>
      </c>
    </row>
    <row r="96" spans="1:15" x14ac:dyDescent="0.3">
      <c r="A96">
        <v>94</v>
      </c>
      <c r="B96">
        <v>1.888603</v>
      </c>
      <c r="C96">
        <v>1.874106</v>
      </c>
      <c r="D96">
        <v>16946.559717</v>
      </c>
      <c r="E96">
        <v>12708.788481</v>
      </c>
      <c r="F96">
        <v>6.9000000000000006E-2</v>
      </c>
      <c r="G96">
        <v>1.4060619999999999</v>
      </c>
      <c r="H96">
        <f t="shared" si="8"/>
        <v>18359.375</v>
      </c>
      <c r="I96" s="4">
        <f t="shared" si="14"/>
        <v>-7.6953343074042543E-2</v>
      </c>
      <c r="J96" s="4">
        <f t="shared" si="15"/>
        <v>-0.30777662741787237</v>
      </c>
      <c r="K96" s="4">
        <f t="shared" si="9"/>
        <v>-0.25006675731056288</v>
      </c>
      <c r="L96">
        <f t="shared" si="10"/>
        <v>1.8359375</v>
      </c>
      <c r="M96" s="4">
        <f t="shared" si="11"/>
        <v>2.8685889361702147E-2</v>
      </c>
      <c r="N96" s="4">
        <f t="shared" si="12"/>
        <v>2.0789651063829816E-2</v>
      </c>
      <c r="O96" s="4">
        <f t="shared" si="13"/>
        <v>-7.6760441447990824E-3</v>
      </c>
    </row>
    <row r="97" spans="1:15" x14ac:dyDescent="0.3">
      <c r="A97">
        <v>95</v>
      </c>
      <c r="B97">
        <v>1.9085639999999999</v>
      </c>
      <c r="C97">
        <v>1.893891</v>
      </c>
      <c r="D97">
        <v>17147.803184</v>
      </c>
      <c r="E97">
        <v>12818.450306999999</v>
      </c>
      <c r="F97">
        <v>7.1062E-2</v>
      </c>
      <c r="G97">
        <v>1.4116880000000001</v>
      </c>
      <c r="H97">
        <f t="shared" si="8"/>
        <v>18554.6875</v>
      </c>
      <c r="I97" s="4">
        <f t="shared" si="14"/>
        <v>-7.5823659978105251E-2</v>
      </c>
      <c r="J97" s="4">
        <f t="shared" si="15"/>
        <v>-0.30915299398063162</v>
      </c>
      <c r="K97" s="4">
        <f t="shared" si="9"/>
        <v>-0.25247274129199038</v>
      </c>
      <c r="L97">
        <f t="shared" si="10"/>
        <v>1.85546875</v>
      </c>
      <c r="M97" s="4">
        <f t="shared" si="11"/>
        <v>2.8615545263157856E-2</v>
      </c>
      <c r="N97" s="4">
        <f t="shared" si="12"/>
        <v>2.0707570526315784E-2</v>
      </c>
      <c r="O97" s="4">
        <f t="shared" si="13"/>
        <v>-7.6879790250680285E-3</v>
      </c>
    </row>
    <row r="98" spans="1:15" x14ac:dyDescent="0.3">
      <c r="A98">
        <v>96</v>
      </c>
      <c r="B98">
        <v>1.931873</v>
      </c>
      <c r="C98">
        <v>1.9155260000000001</v>
      </c>
      <c r="D98">
        <v>17261.625147999999</v>
      </c>
      <c r="E98">
        <v>12948.870692</v>
      </c>
      <c r="F98">
        <v>7.3688000000000003E-2</v>
      </c>
      <c r="G98">
        <v>1.417125</v>
      </c>
      <c r="H98">
        <f t="shared" si="8"/>
        <v>18750</v>
      </c>
      <c r="I98" s="4">
        <f t="shared" si="14"/>
        <v>-7.9379992106666714E-2</v>
      </c>
      <c r="J98" s="4">
        <f t="shared" si="15"/>
        <v>-0.30939356309333332</v>
      </c>
      <c r="K98" s="4">
        <f t="shared" si="9"/>
        <v>-0.24984637419841618</v>
      </c>
      <c r="L98">
        <f t="shared" si="10"/>
        <v>1.875</v>
      </c>
      <c r="M98" s="4">
        <f t="shared" si="11"/>
        <v>3.0332266666666642E-2</v>
      </c>
      <c r="N98" s="4">
        <f t="shared" si="12"/>
        <v>2.16138666666667E-2</v>
      </c>
      <c r="O98" s="4">
        <f t="shared" si="13"/>
        <v>-8.4617363563753364E-3</v>
      </c>
    </row>
    <row r="99" spans="1:15" x14ac:dyDescent="0.3">
      <c r="A99">
        <v>97</v>
      </c>
      <c r="B99">
        <v>1.951702</v>
      </c>
      <c r="C99">
        <v>1.935222</v>
      </c>
      <c r="D99">
        <v>17402.719367999998</v>
      </c>
      <c r="E99">
        <v>13099.432871000001</v>
      </c>
      <c r="F99">
        <v>7.5999999999999998E-2</v>
      </c>
      <c r="G99">
        <v>1.4223749999999999</v>
      </c>
      <c r="H99">
        <f t="shared" si="8"/>
        <v>18945.3125</v>
      </c>
      <c r="I99" s="4">
        <f t="shared" si="14"/>
        <v>-8.1423472534433078E-2</v>
      </c>
      <c r="J99" s="4">
        <f t="shared" si="15"/>
        <v>-0.3085660175307216</v>
      </c>
      <c r="K99" s="4">
        <f t="shared" si="9"/>
        <v>-0.24727667015724286</v>
      </c>
      <c r="L99">
        <f t="shared" si="10"/>
        <v>1.89453125</v>
      </c>
      <c r="M99" s="4">
        <f t="shared" si="11"/>
        <v>3.0176725773195901E-2</v>
      </c>
      <c r="N99" s="4">
        <f t="shared" si="12"/>
        <v>2.1478004123711338E-2</v>
      </c>
      <c r="O99" s="4">
        <f t="shared" si="13"/>
        <v>-8.4439120316523991E-3</v>
      </c>
    </row>
    <row r="100" spans="1:15" x14ac:dyDescent="0.3">
      <c r="A100">
        <v>98</v>
      </c>
      <c r="B100">
        <v>1.97153</v>
      </c>
      <c r="C100">
        <v>1.955095</v>
      </c>
      <c r="D100">
        <v>17653.430557</v>
      </c>
      <c r="E100">
        <v>13269.436102</v>
      </c>
      <c r="F100">
        <v>7.8625E-2</v>
      </c>
      <c r="G100">
        <v>1.427875</v>
      </c>
      <c r="H100">
        <f t="shared" si="8"/>
        <v>19140.625</v>
      </c>
      <c r="I100" s="4">
        <f t="shared" si="14"/>
        <v>-7.7698321920000021E-2</v>
      </c>
      <c r="J100" s="4">
        <f t="shared" si="15"/>
        <v>-0.30673966487510207</v>
      </c>
      <c r="K100" s="4">
        <f t="shared" si="9"/>
        <v>-0.24833668678984569</v>
      </c>
      <c r="L100">
        <f t="shared" si="10"/>
        <v>1.9140625</v>
      </c>
      <c r="M100" s="4">
        <f t="shared" si="11"/>
        <v>3.002383673469388E-2</v>
      </c>
      <c r="N100" s="4">
        <f t="shared" si="12"/>
        <v>2.1437387755102056E-2</v>
      </c>
      <c r="O100" s="4">
        <f t="shared" si="13"/>
        <v>-8.3361653132338724E-3</v>
      </c>
    </row>
    <row r="101" spans="1:15" x14ac:dyDescent="0.3">
      <c r="A101">
        <v>99</v>
      </c>
      <c r="B101">
        <v>1.9915350000000001</v>
      </c>
      <c r="C101">
        <v>1.9749669999999999</v>
      </c>
      <c r="D101">
        <v>17872.838326000001</v>
      </c>
      <c r="E101">
        <v>13437.274031000001</v>
      </c>
      <c r="F101">
        <v>8.1250000000000003E-2</v>
      </c>
      <c r="G101">
        <v>1.4333750000000001</v>
      </c>
      <c r="H101">
        <f t="shared" si="8"/>
        <v>19335.9375</v>
      </c>
      <c r="I101" s="4">
        <f t="shared" si="14"/>
        <v>-7.5667351221010051E-2</v>
      </c>
      <c r="J101" s="4">
        <f t="shared" si="15"/>
        <v>-0.30506219152808078</v>
      </c>
      <c r="K101" s="4">
        <f t="shared" si="9"/>
        <v>-0.24817346937825144</v>
      </c>
      <c r="L101">
        <f t="shared" si="10"/>
        <v>1.93359375</v>
      </c>
      <c r="M101" s="4">
        <f t="shared" si="11"/>
        <v>2.9965575757575785E-2</v>
      </c>
      <c r="N101" s="4">
        <f t="shared" si="12"/>
        <v>2.1397074747474706E-2</v>
      </c>
      <c r="O101" s="4">
        <f t="shared" si="13"/>
        <v>-8.3192110608149676E-3</v>
      </c>
    </row>
    <row r="102" spans="1:15" x14ac:dyDescent="0.3">
      <c r="A102">
        <v>100</v>
      </c>
      <c r="B102">
        <v>2.0114960000000002</v>
      </c>
      <c r="C102">
        <v>1.9945759999999999</v>
      </c>
      <c r="D102">
        <v>18062.216864000002</v>
      </c>
      <c r="E102">
        <v>13602.987766</v>
      </c>
      <c r="F102">
        <v>8.4250000000000005E-2</v>
      </c>
      <c r="G102">
        <v>1.4384380000000001</v>
      </c>
      <c r="H102">
        <f t="shared" si="8"/>
        <v>19531.25</v>
      </c>
      <c r="I102" s="4">
        <f t="shared" si="14"/>
        <v>-7.5214496563199909E-2</v>
      </c>
      <c r="J102" s="4">
        <f t="shared" si="15"/>
        <v>-0.30352702638079998</v>
      </c>
      <c r="K102" s="4">
        <f t="shared" si="9"/>
        <v>-0.24688160548485824</v>
      </c>
      <c r="L102">
        <f t="shared" si="10"/>
        <v>1.953125</v>
      </c>
      <c r="M102" s="4">
        <f t="shared" si="11"/>
        <v>2.9885952000000087E-2</v>
      </c>
      <c r="N102" s="4">
        <f t="shared" si="12"/>
        <v>2.1222911999999951E-2</v>
      </c>
      <c r="O102" s="4">
        <f t="shared" si="13"/>
        <v>-8.4116498367385606E-3</v>
      </c>
    </row>
    <row r="103" spans="1:15" x14ac:dyDescent="0.3">
      <c r="A103">
        <v>101</v>
      </c>
      <c r="B103">
        <v>2.0316329999999998</v>
      </c>
      <c r="C103">
        <v>2.0145360000000001</v>
      </c>
      <c r="D103">
        <v>18328.63723</v>
      </c>
      <c r="E103">
        <v>13725.903208</v>
      </c>
      <c r="F103">
        <v>8.7374999999999994E-2</v>
      </c>
      <c r="G103">
        <v>1.4439379999999999</v>
      </c>
      <c r="H103">
        <f t="shared" si="8"/>
        <v>19726.5625</v>
      </c>
      <c r="I103" s="4">
        <f t="shared" si="14"/>
        <v>-7.0865122598019789E-2</v>
      </c>
      <c r="J103" s="4">
        <f t="shared" si="15"/>
        <v>-0.30419183737663369</v>
      </c>
      <c r="K103" s="4">
        <f t="shared" si="9"/>
        <v>-0.25112254469559386</v>
      </c>
      <c r="L103">
        <f t="shared" si="10"/>
        <v>1.97265625</v>
      </c>
      <c r="M103" s="4">
        <f t="shared" si="11"/>
        <v>2.9897124752475145E-2</v>
      </c>
      <c r="N103" s="4">
        <f t="shared" si="12"/>
        <v>2.1230130693069359E-2</v>
      </c>
      <c r="O103" s="4">
        <f t="shared" si="13"/>
        <v>-8.4153978597510948E-3</v>
      </c>
    </row>
    <row r="104" spans="1:15" x14ac:dyDescent="0.3">
      <c r="A104">
        <v>102</v>
      </c>
      <c r="B104">
        <v>2.051329</v>
      </c>
      <c r="C104">
        <v>2.0343209999999998</v>
      </c>
      <c r="D104">
        <v>18433.873512999999</v>
      </c>
      <c r="E104">
        <v>13847.662887</v>
      </c>
      <c r="F104">
        <v>9.0749999999999997E-2</v>
      </c>
      <c r="G104">
        <v>1.4490620000000001</v>
      </c>
      <c r="H104">
        <f t="shared" si="8"/>
        <v>19921.875</v>
      </c>
      <c r="I104" s="4">
        <f t="shared" si="14"/>
        <v>-7.469183934745105E-2</v>
      </c>
      <c r="J104" s="4">
        <f t="shared" si="15"/>
        <v>-0.30490162763294115</v>
      </c>
      <c r="K104" s="4">
        <f t="shared" si="9"/>
        <v>-0.24879256238607123</v>
      </c>
      <c r="L104">
        <f t="shared" si="10"/>
        <v>1.9921875</v>
      </c>
      <c r="M104" s="4">
        <f t="shared" si="11"/>
        <v>2.9686713725490175E-2</v>
      </c>
      <c r="N104" s="4">
        <f t="shared" si="12"/>
        <v>2.1149364705882266E-2</v>
      </c>
      <c r="O104" s="4">
        <f t="shared" si="13"/>
        <v>-8.2912102349258134E-3</v>
      </c>
    </row>
    <row r="105" spans="1:15" x14ac:dyDescent="0.3">
      <c r="A105">
        <v>103</v>
      </c>
      <c r="B105">
        <v>2.0716429999999999</v>
      </c>
      <c r="C105">
        <v>2.0542820000000002</v>
      </c>
      <c r="D105">
        <v>18642.107404999999</v>
      </c>
      <c r="E105">
        <v>14028.170759000001</v>
      </c>
      <c r="F105">
        <v>9.4312999999999994E-2</v>
      </c>
      <c r="G105">
        <v>1.453875</v>
      </c>
      <c r="H105">
        <f t="shared" si="8"/>
        <v>20117.1875</v>
      </c>
      <c r="I105" s="4">
        <f t="shared" si="14"/>
        <v>-7.3324369770873851E-2</v>
      </c>
      <c r="J105" s="4">
        <f t="shared" si="15"/>
        <v>-0.30267733702834948</v>
      </c>
      <c r="K105" s="4">
        <f t="shared" si="9"/>
        <v>-0.2475008080235872</v>
      </c>
      <c r="L105">
        <f t="shared" si="10"/>
        <v>2.01171875</v>
      </c>
      <c r="M105" s="4">
        <f t="shared" si="11"/>
        <v>2.9787588349514515E-2</v>
      </c>
      <c r="N105" s="4">
        <f t="shared" si="12"/>
        <v>2.1157654368932119E-2</v>
      </c>
      <c r="O105" s="4">
        <f t="shared" si="13"/>
        <v>-8.3803049077470094E-3</v>
      </c>
    </row>
    <row r="106" spans="1:15" x14ac:dyDescent="0.3">
      <c r="A106">
        <v>104</v>
      </c>
      <c r="B106">
        <v>2.0912510000000002</v>
      </c>
      <c r="C106">
        <v>2.0752120000000001</v>
      </c>
      <c r="D106">
        <v>18693.705265000001</v>
      </c>
      <c r="E106">
        <v>14147.111354000001</v>
      </c>
      <c r="F106">
        <v>9.8437999999999998E-2</v>
      </c>
      <c r="G106">
        <v>1.45875</v>
      </c>
      <c r="H106">
        <f t="shared" si="8"/>
        <v>20312.5</v>
      </c>
      <c r="I106" s="4">
        <f t="shared" si="14"/>
        <v>-7.9694510030769203E-2</v>
      </c>
      <c r="J106" s="4">
        <f t="shared" si="15"/>
        <v>-0.30352682564923072</v>
      </c>
      <c r="K106" s="4">
        <f t="shared" si="9"/>
        <v>-0.24321523456949612</v>
      </c>
      <c r="L106">
        <f t="shared" si="10"/>
        <v>2.03125</v>
      </c>
      <c r="M106" s="4">
        <f t="shared" si="11"/>
        <v>2.9538953846153942E-2</v>
      </c>
      <c r="N106" s="4">
        <f t="shared" si="12"/>
        <v>2.1642830769230795E-2</v>
      </c>
      <c r="O106" s="4">
        <f t="shared" si="13"/>
        <v>-7.669571945213719E-3</v>
      </c>
    </row>
    <row r="107" spans="1:15" x14ac:dyDescent="0.3">
      <c r="A107">
        <v>105</v>
      </c>
      <c r="B107">
        <v>2.111167</v>
      </c>
      <c r="C107">
        <v>2.0951719999999998</v>
      </c>
      <c r="D107">
        <v>18974.260716000001</v>
      </c>
      <c r="E107">
        <v>14264.951666999999</v>
      </c>
      <c r="F107">
        <v>0.102812</v>
      </c>
      <c r="G107">
        <v>1.4638119999999999</v>
      </c>
      <c r="H107">
        <f t="shared" si="8"/>
        <v>20507.8125</v>
      </c>
      <c r="I107" s="4">
        <f t="shared" si="14"/>
        <v>-7.4778906038857104E-2</v>
      </c>
      <c r="J107" s="4">
        <f t="shared" si="15"/>
        <v>-0.30441378538057146</v>
      </c>
      <c r="K107" s="4">
        <f t="shared" si="9"/>
        <v>-0.24819460001563526</v>
      </c>
      <c r="L107">
        <f t="shared" si="10"/>
        <v>2.05078125</v>
      </c>
      <c r="M107" s="4">
        <f t="shared" si="11"/>
        <v>2.9445241904761912E-2</v>
      </c>
      <c r="N107" s="4">
        <f t="shared" si="12"/>
        <v>2.1645775238095147E-2</v>
      </c>
      <c r="O107" s="4">
        <f t="shared" si="13"/>
        <v>-7.5763783727200188E-3</v>
      </c>
    </row>
    <row r="108" spans="1:15" x14ac:dyDescent="0.3">
      <c r="A108">
        <v>106</v>
      </c>
      <c r="B108">
        <v>2.1309079999999998</v>
      </c>
      <c r="C108">
        <v>2.1148690000000001</v>
      </c>
      <c r="D108">
        <v>19149.997157999998</v>
      </c>
      <c r="E108">
        <v>14420.386759000001</v>
      </c>
      <c r="F108">
        <v>0.107375</v>
      </c>
      <c r="G108">
        <v>1.4688129999999999</v>
      </c>
      <c r="H108">
        <f t="shared" si="8"/>
        <v>20703.125</v>
      </c>
      <c r="I108" s="4">
        <f t="shared" si="14"/>
        <v>-7.5019005198490654E-2</v>
      </c>
      <c r="J108" s="4">
        <f t="shared" si="15"/>
        <v>-0.30346811126339618</v>
      </c>
      <c r="K108" s="4">
        <f t="shared" si="9"/>
        <v>-0.24697708098740795</v>
      </c>
      <c r="L108">
        <f t="shared" si="10"/>
        <v>2.0703125</v>
      </c>
      <c r="M108" s="4">
        <f t="shared" si="11"/>
        <v>2.926876981132066E-2</v>
      </c>
      <c r="N108" s="4">
        <f t="shared" si="12"/>
        <v>2.1521630188679298E-2</v>
      </c>
      <c r="O108" s="4">
        <f t="shared" si="13"/>
        <v>-7.5268383243198176E-3</v>
      </c>
    </row>
    <row r="109" spans="1:15" x14ac:dyDescent="0.3">
      <c r="A109">
        <v>107</v>
      </c>
      <c r="B109">
        <v>2.1509130000000001</v>
      </c>
      <c r="C109">
        <v>2.1349179999999999</v>
      </c>
      <c r="D109">
        <v>19348.233178999999</v>
      </c>
      <c r="E109">
        <v>14592.989256000001</v>
      </c>
      <c r="F109">
        <v>0.112375</v>
      </c>
      <c r="G109">
        <v>1.473563</v>
      </c>
      <c r="H109">
        <f t="shared" si="8"/>
        <v>20898.4375</v>
      </c>
      <c r="I109" s="4">
        <f t="shared" si="14"/>
        <v>-7.4178001154392575E-2</v>
      </c>
      <c r="J109" s="4">
        <f t="shared" si="15"/>
        <v>-0.30171864494654205</v>
      </c>
      <c r="K109" s="4">
        <f t="shared" si="9"/>
        <v>-0.24577148099296217</v>
      </c>
      <c r="L109">
        <f t="shared" si="10"/>
        <v>2.08984375</v>
      </c>
      <c r="M109" s="4">
        <f t="shared" si="11"/>
        <v>2.9221921495327138E-2</v>
      </c>
      <c r="N109" s="4">
        <f t="shared" si="12"/>
        <v>2.1568239252336387E-2</v>
      </c>
      <c r="O109" s="4">
        <f t="shared" si="13"/>
        <v>-7.4363770175735616E-3</v>
      </c>
    </row>
    <row r="110" spans="1:15" x14ac:dyDescent="0.3">
      <c r="A110">
        <v>108</v>
      </c>
      <c r="B110">
        <v>2.1709170000000002</v>
      </c>
      <c r="C110">
        <v>2.1548340000000001</v>
      </c>
      <c r="D110">
        <v>19616.370664999999</v>
      </c>
      <c r="E110">
        <v>14725.609892</v>
      </c>
      <c r="F110">
        <v>0.118188</v>
      </c>
      <c r="G110">
        <v>1.4784379999999999</v>
      </c>
      <c r="H110">
        <f t="shared" si="8"/>
        <v>21093.75</v>
      </c>
      <c r="I110" s="4">
        <f t="shared" si="14"/>
        <v>-7.0038724029629698E-2</v>
      </c>
      <c r="J110" s="4">
        <f t="shared" si="15"/>
        <v>-0.30189701252740742</v>
      </c>
      <c r="K110" s="4">
        <f t="shared" si="9"/>
        <v>-0.24932036901842455</v>
      </c>
      <c r="L110">
        <f t="shared" si="10"/>
        <v>2.109375</v>
      </c>
      <c r="M110" s="4">
        <f t="shared" si="11"/>
        <v>2.9175466666666764E-2</v>
      </c>
      <c r="N110" s="4">
        <f t="shared" si="12"/>
        <v>2.15509333333334E-2</v>
      </c>
      <c r="O110" s="4">
        <f t="shared" si="13"/>
        <v>-7.4083900950612427E-3</v>
      </c>
    </row>
    <row r="111" spans="1:15" x14ac:dyDescent="0.3">
      <c r="A111">
        <v>109</v>
      </c>
      <c r="B111">
        <v>2.1907899999999998</v>
      </c>
      <c r="C111">
        <v>2.1744870000000001</v>
      </c>
      <c r="D111">
        <v>19808.226944999999</v>
      </c>
      <c r="E111">
        <v>14931.197902</v>
      </c>
      <c r="F111">
        <v>0.12431200000000001</v>
      </c>
      <c r="G111">
        <v>1.483188</v>
      </c>
      <c r="H111">
        <f t="shared" si="8"/>
        <v>21289.0625</v>
      </c>
      <c r="I111" s="4">
        <f t="shared" si="14"/>
        <v>-6.9558514143119338E-2</v>
      </c>
      <c r="J111" s="4">
        <f t="shared" si="15"/>
        <v>-0.29864464900697246</v>
      </c>
      <c r="K111" s="4">
        <f t="shared" si="9"/>
        <v>-0.24621229636260103</v>
      </c>
      <c r="L111">
        <f t="shared" si="10"/>
        <v>2.12890625</v>
      </c>
      <c r="M111" s="4">
        <f t="shared" si="11"/>
        <v>2.9068330275229259E-2</v>
      </c>
      <c r="N111" s="4">
        <f t="shared" si="12"/>
        <v>2.1410407339449569E-2</v>
      </c>
      <c r="O111" s="4">
        <f t="shared" si="13"/>
        <v>-7.4416078218358384E-3</v>
      </c>
    </row>
    <row r="112" spans="1:15" x14ac:dyDescent="0.3">
      <c r="A112">
        <v>110</v>
      </c>
      <c r="B112">
        <v>2.2106629999999998</v>
      </c>
      <c r="C112">
        <v>2.1943589999999999</v>
      </c>
      <c r="D112">
        <v>20044.405068</v>
      </c>
      <c r="E112">
        <v>15060.268185000001</v>
      </c>
      <c r="F112">
        <v>0.13100000000000001</v>
      </c>
      <c r="G112">
        <v>1.4877499999999999</v>
      </c>
      <c r="H112">
        <f t="shared" si="8"/>
        <v>21484.375</v>
      </c>
      <c r="I112" s="4">
        <f t="shared" si="14"/>
        <v>-6.7024055016727271E-2</v>
      </c>
      <c r="J112" s="4">
        <f t="shared" si="15"/>
        <v>-0.29901297175272723</v>
      </c>
      <c r="K112" s="4">
        <f t="shared" si="9"/>
        <v>-0.24865476755690552</v>
      </c>
      <c r="L112">
        <f t="shared" si="10"/>
        <v>2.1484375</v>
      </c>
      <c r="M112" s="4">
        <f t="shared" si="11"/>
        <v>2.8963141818181735E-2</v>
      </c>
      <c r="N112" s="4">
        <f t="shared" si="12"/>
        <v>2.1374370909090886E-2</v>
      </c>
      <c r="O112" s="4">
        <f t="shared" si="13"/>
        <v>-7.3751630167057918E-3</v>
      </c>
    </row>
    <row r="113" spans="1:15" x14ac:dyDescent="0.3">
      <c r="A113">
        <v>111</v>
      </c>
      <c r="B113">
        <v>2.2307999999999999</v>
      </c>
      <c r="C113">
        <v>2.2142759999999999</v>
      </c>
      <c r="D113">
        <v>20230.497277999999</v>
      </c>
      <c r="E113">
        <v>15224.246281</v>
      </c>
      <c r="F113">
        <v>0.13856199999999999</v>
      </c>
      <c r="G113">
        <v>1.4924999999999999</v>
      </c>
      <c r="H113">
        <f t="shared" si="8"/>
        <v>21679.6875</v>
      </c>
      <c r="I113" s="4">
        <f t="shared" si="14"/>
        <v>-6.6845530960720767E-2</v>
      </c>
      <c r="J113" s="4">
        <f t="shared" si="15"/>
        <v>-0.2977644958673874</v>
      </c>
      <c r="K113" s="4">
        <f t="shared" si="9"/>
        <v>-0.24746060011308435</v>
      </c>
      <c r="L113">
        <f t="shared" si="10"/>
        <v>2.16796875</v>
      </c>
      <c r="M113" s="4">
        <f t="shared" si="11"/>
        <v>2.8981621621621573E-2</v>
      </c>
      <c r="N113" s="4">
        <f t="shared" si="12"/>
        <v>2.13597405405405E-2</v>
      </c>
      <c r="O113" s="4">
        <f t="shared" si="13"/>
        <v>-7.4072081764389383E-3</v>
      </c>
    </row>
    <row r="114" spans="1:15" x14ac:dyDescent="0.3">
      <c r="A114">
        <v>112</v>
      </c>
      <c r="B114">
        <v>2.2531400000000001</v>
      </c>
      <c r="C114">
        <v>2.234369</v>
      </c>
      <c r="D114">
        <v>20322.610745000002</v>
      </c>
      <c r="E114">
        <v>15332.354126</v>
      </c>
      <c r="F114">
        <v>0.14693800000000001</v>
      </c>
      <c r="G114">
        <v>1.497125</v>
      </c>
      <c r="H114">
        <f t="shared" si="8"/>
        <v>21875</v>
      </c>
      <c r="I114" s="4">
        <f t="shared" si="14"/>
        <v>-7.096636594285706E-2</v>
      </c>
      <c r="J114" s="4">
        <f t="shared" si="15"/>
        <v>-0.29909238281142858</v>
      </c>
      <c r="K114" s="4">
        <f t="shared" si="9"/>
        <v>-0.24555194613604264</v>
      </c>
      <c r="L114">
        <f t="shared" si="10"/>
        <v>2.1875</v>
      </c>
      <c r="M114" s="4">
        <f t="shared" si="11"/>
        <v>3.0006857142857207E-2</v>
      </c>
      <c r="N114" s="4">
        <f t="shared" si="12"/>
        <v>2.1425828571428593E-2</v>
      </c>
      <c r="O114" s="4">
        <f t="shared" si="13"/>
        <v>-8.3310402371801536E-3</v>
      </c>
    </row>
    <row r="115" spans="1:15" x14ac:dyDescent="0.3">
      <c r="A115">
        <v>113</v>
      </c>
      <c r="B115">
        <v>2.2729240000000002</v>
      </c>
      <c r="C115">
        <v>2.254197</v>
      </c>
      <c r="D115">
        <v>20527.632323000002</v>
      </c>
      <c r="E115">
        <v>15492.731544</v>
      </c>
      <c r="F115">
        <v>0.15662499999999999</v>
      </c>
      <c r="G115">
        <v>1.501563</v>
      </c>
      <c r="H115">
        <f t="shared" si="8"/>
        <v>22070.3125</v>
      </c>
      <c r="I115" s="4">
        <f t="shared" si="14"/>
        <v>-6.9898429258760983E-2</v>
      </c>
      <c r="J115" s="4">
        <f t="shared" si="15"/>
        <v>-0.29802844685592922</v>
      </c>
      <c r="K115" s="4">
        <f t="shared" si="9"/>
        <v>-0.24527430634845754</v>
      </c>
      <c r="L115">
        <f t="shared" si="10"/>
        <v>2.20703125</v>
      </c>
      <c r="M115" s="4">
        <f t="shared" si="11"/>
        <v>2.9855830088495652E-2</v>
      </c>
      <c r="N115" s="4">
        <f t="shared" si="12"/>
        <v>2.1370676106194694E-2</v>
      </c>
      <c r="O115" s="4">
        <f t="shared" si="13"/>
        <v>-8.2391668177203281E-3</v>
      </c>
    </row>
    <row r="116" spans="1:15" x14ac:dyDescent="0.3">
      <c r="A116">
        <v>114</v>
      </c>
      <c r="B116">
        <v>2.2929729999999999</v>
      </c>
      <c r="C116">
        <v>2.2742460000000002</v>
      </c>
      <c r="D116">
        <v>20774.0969</v>
      </c>
      <c r="E116">
        <v>15598.478499999999</v>
      </c>
      <c r="F116">
        <v>0.16731199999999999</v>
      </c>
      <c r="G116">
        <v>1.5061249999999999</v>
      </c>
      <c r="H116">
        <f t="shared" si="8"/>
        <v>22265.625</v>
      </c>
      <c r="I116" s="4">
        <f t="shared" si="14"/>
        <v>-6.6987928701754365E-2</v>
      </c>
      <c r="J116" s="4">
        <f t="shared" si="15"/>
        <v>-0.29943675508771933</v>
      </c>
      <c r="K116" s="4">
        <f t="shared" si="9"/>
        <v>-0.2491380696313206</v>
      </c>
      <c r="L116">
        <f t="shared" si="10"/>
        <v>2.2265625</v>
      </c>
      <c r="M116" s="4">
        <f t="shared" si="11"/>
        <v>2.9826470175438564E-2</v>
      </c>
      <c r="N116" s="4">
        <f t="shared" si="12"/>
        <v>2.1415747368421147E-2</v>
      </c>
      <c r="O116" s="4">
        <f t="shared" si="13"/>
        <v>-8.1671262592275251E-3</v>
      </c>
    </row>
    <row r="117" spans="1:15" x14ac:dyDescent="0.3">
      <c r="A117">
        <v>115</v>
      </c>
      <c r="B117">
        <v>2.3126699999999998</v>
      </c>
      <c r="C117">
        <v>2.2940309999999999</v>
      </c>
      <c r="D117">
        <v>20906.663746999999</v>
      </c>
      <c r="E117">
        <v>15789.960019</v>
      </c>
      <c r="F117">
        <v>0.17974999999999999</v>
      </c>
      <c r="G117">
        <v>1.5105</v>
      </c>
      <c r="H117">
        <f t="shared" si="8"/>
        <v>22460.9375</v>
      </c>
      <c r="I117" s="4">
        <f t="shared" si="14"/>
        <v>-6.9198970568347881E-2</v>
      </c>
      <c r="J117" s="4">
        <f t="shared" si="15"/>
        <v>-0.29700351915408696</v>
      </c>
      <c r="K117" s="4">
        <f t="shared" si="9"/>
        <v>-0.24474032729082468</v>
      </c>
      <c r="L117">
        <f t="shared" si="10"/>
        <v>2.24609375</v>
      </c>
      <c r="M117" s="4">
        <f t="shared" si="11"/>
        <v>2.9640904347825989E-2</v>
      </c>
      <c r="N117" s="4">
        <f t="shared" si="12"/>
        <v>2.1342497391304317E-2</v>
      </c>
      <c r="O117" s="4">
        <f t="shared" si="13"/>
        <v>-8.0595156247972484E-3</v>
      </c>
    </row>
    <row r="118" spans="1:15" x14ac:dyDescent="0.3">
      <c r="A118">
        <v>116</v>
      </c>
      <c r="B118">
        <v>2.3324980000000002</v>
      </c>
      <c r="C118">
        <v>2.3137270000000001</v>
      </c>
      <c r="D118">
        <v>21103.093344000001</v>
      </c>
      <c r="E118">
        <v>15944.371222</v>
      </c>
      <c r="F118">
        <v>0.19431200000000001</v>
      </c>
      <c r="G118">
        <v>1.514875</v>
      </c>
      <c r="H118">
        <f t="shared" si="8"/>
        <v>22656.25</v>
      </c>
      <c r="I118" s="4">
        <f t="shared" si="14"/>
        <v>-6.8553121368275821E-2</v>
      </c>
      <c r="J118" s="4">
        <f t="shared" si="15"/>
        <v>-0.29624844261517241</v>
      </c>
      <c r="K118" s="4">
        <f t="shared" si="9"/>
        <v>-0.24445336225870037</v>
      </c>
      <c r="L118">
        <f t="shared" si="10"/>
        <v>2.265625</v>
      </c>
      <c r="M118" s="4">
        <f t="shared" si="11"/>
        <v>2.9516358620689735E-2</v>
      </c>
      <c r="N118" s="4">
        <f t="shared" si="12"/>
        <v>2.1231227586206936E-2</v>
      </c>
      <c r="O118" s="4">
        <f t="shared" si="13"/>
        <v>-8.0475953248406173E-3</v>
      </c>
    </row>
    <row r="119" spans="1:15" x14ac:dyDescent="0.3">
      <c r="A119">
        <v>117</v>
      </c>
      <c r="B119">
        <v>2.352503</v>
      </c>
      <c r="C119">
        <v>2.3336000000000001</v>
      </c>
      <c r="D119">
        <v>21339.311662</v>
      </c>
      <c r="E119">
        <v>16113.609469999999</v>
      </c>
      <c r="F119">
        <v>0.211062</v>
      </c>
      <c r="G119">
        <v>1.5191250000000001</v>
      </c>
      <c r="H119">
        <f t="shared" si="8"/>
        <v>22851.5625</v>
      </c>
      <c r="I119" s="4">
        <f t="shared" si="14"/>
        <v>-6.6177130688547012E-2</v>
      </c>
      <c r="J119" s="4">
        <f t="shared" si="15"/>
        <v>-0.29485743174017098</v>
      </c>
      <c r="K119" s="4">
        <f t="shared" si="9"/>
        <v>-0.24488616478223499</v>
      </c>
      <c r="L119">
        <f t="shared" si="10"/>
        <v>2.28515625</v>
      </c>
      <c r="M119" s="4">
        <f t="shared" si="11"/>
        <v>2.9471398290598295E-2</v>
      </c>
      <c r="N119" s="4">
        <f t="shared" si="12"/>
        <v>2.1199316239316292E-2</v>
      </c>
      <c r="O119" s="4">
        <f t="shared" si="13"/>
        <v>-8.0352713684105365E-3</v>
      </c>
    </row>
    <row r="120" spans="1:15" x14ac:dyDescent="0.3">
      <c r="A120">
        <v>118</v>
      </c>
      <c r="B120">
        <v>2.3724639999999999</v>
      </c>
      <c r="C120">
        <v>2.353472</v>
      </c>
      <c r="D120">
        <v>21487.468137</v>
      </c>
      <c r="E120">
        <v>16230.644061000001</v>
      </c>
      <c r="F120">
        <v>0.231125</v>
      </c>
      <c r="G120">
        <v>1.5235000000000001</v>
      </c>
      <c r="H120">
        <f t="shared" si="8"/>
        <v>23046.875</v>
      </c>
      <c r="I120" s="4">
        <f t="shared" si="14"/>
        <v>-6.7662399479322038E-2</v>
      </c>
      <c r="J120" s="4">
        <f t="shared" si="15"/>
        <v>-0.29575510514983044</v>
      </c>
      <c r="K120" s="4">
        <f t="shared" si="9"/>
        <v>-0.24464604403289819</v>
      </c>
      <c r="L120">
        <f t="shared" si="10"/>
        <v>2.3046875</v>
      </c>
      <c r="M120" s="4">
        <f t="shared" si="11"/>
        <v>2.9408108474576231E-2</v>
      </c>
      <c r="N120" s="4">
        <f t="shared" si="12"/>
        <v>2.1167511864406782E-2</v>
      </c>
      <c r="O120" s="4">
        <f t="shared" si="13"/>
        <v>-8.0051794252725857E-3</v>
      </c>
    </row>
    <row r="121" spans="1:15" x14ac:dyDescent="0.3">
      <c r="A121">
        <v>119</v>
      </c>
      <c r="B121">
        <v>2.3927330000000002</v>
      </c>
      <c r="C121">
        <v>2.373389</v>
      </c>
      <c r="D121">
        <v>21716.962658</v>
      </c>
      <c r="E121">
        <v>16395.829366000002</v>
      </c>
      <c r="F121">
        <v>0.25518800000000003</v>
      </c>
      <c r="G121">
        <v>1.527938</v>
      </c>
      <c r="H121">
        <f t="shared" si="8"/>
        <v>23242.1875</v>
      </c>
      <c r="I121" s="4">
        <f t="shared" si="14"/>
        <v>-6.5623119252436954E-2</v>
      </c>
      <c r="J121" s="4">
        <f t="shared" si="15"/>
        <v>-0.29456599702588226</v>
      </c>
      <c r="K121" s="4">
        <f t="shared" si="9"/>
        <v>-0.24502198469452277</v>
      </c>
      <c r="L121">
        <f t="shared" si="10"/>
        <v>2.32421875</v>
      </c>
      <c r="M121" s="4">
        <f t="shared" si="11"/>
        <v>2.9478400000000095E-2</v>
      </c>
      <c r="N121" s="4">
        <f t="shared" si="12"/>
        <v>2.1155603361344526E-2</v>
      </c>
      <c r="O121" s="4">
        <f t="shared" si="13"/>
        <v>-8.0844791290964127E-3</v>
      </c>
    </row>
    <row r="122" spans="1:15" x14ac:dyDescent="0.3">
      <c r="A122">
        <v>120</v>
      </c>
      <c r="B122">
        <v>2.4139270000000002</v>
      </c>
      <c r="C122">
        <v>2.3915869999999999</v>
      </c>
      <c r="D122">
        <v>21778.858945</v>
      </c>
      <c r="E122">
        <v>16542.514195</v>
      </c>
      <c r="F122">
        <v>0.28293800000000002</v>
      </c>
      <c r="G122">
        <v>1.532438</v>
      </c>
      <c r="H122">
        <f t="shared" si="8"/>
        <v>23437.5</v>
      </c>
      <c r="I122" s="4">
        <f t="shared" si="14"/>
        <v>-7.0768685013333332E-2</v>
      </c>
      <c r="J122" s="4">
        <f t="shared" si="15"/>
        <v>-0.29418606101333333</v>
      </c>
      <c r="K122" s="4">
        <f t="shared" si="9"/>
        <v>-0.24043246541169974</v>
      </c>
      <c r="L122">
        <f t="shared" si="10"/>
        <v>2.34375</v>
      </c>
      <c r="M122" s="4">
        <f t="shared" si="11"/>
        <v>2.9942186666666735E-2</v>
      </c>
      <c r="N122" s="4">
        <f t="shared" si="12"/>
        <v>2.0410453333333294E-2</v>
      </c>
      <c r="O122" s="4">
        <f t="shared" si="13"/>
        <v>-9.2546294896242703E-3</v>
      </c>
    </row>
    <row r="123" spans="1:15" x14ac:dyDescent="0.3">
      <c r="A123">
        <v>121</v>
      </c>
      <c r="B123">
        <v>2.4340639999999998</v>
      </c>
      <c r="C123">
        <v>2.4115039999999999</v>
      </c>
      <c r="D123">
        <v>22023.534067000001</v>
      </c>
      <c r="E123">
        <v>16671.354121</v>
      </c>
      <c r="F123">
        <v>0.31931199999999998</v>
      </c>
      <c r="G123">
        <v>1.536438</v>
      </c>
      <c r="H123">
        <f t="shared" si="8"/>
        <v>23632.8125</v>
      </c>
      <c r="I123" s="4">
        <f t="shared" si="14"/>
        <v>-6.8095087412892538E-2</v>
      </c>
      <c r="J123" s="4">
        <f t="shared" si="15"/>
        <v>-0.29456749504528923</v>
      </c>
      <c r="K123" s="4">
        <f t="shared" si="9"/>
        <v>-0.24302093976913955</v>
      </c>
      <c r="L123">
        <f t="shared" si="10"/>
        <v>2.36328125</v>
      </c>
      <c r="M123" s="4">
        <f t="shared" si="11"/>
        <v>2.9951047933884208E-2</v>
      </c>
      <c r="N123" s="4">
        <f t="shared" si="12"/>
        <v>2.0404998347107382E-2</v>
      </c>
      <c r="O123" s="4">
        <f t="shared" si="13"/>
        <v>-9.2684498024702376E-3</v>
      </c>
    </row>
    <row r="124" spans="1:15" x14ac:dyDescent="0.3">
      <c r="A124">
        <v>122</v>
      </c>
      <c r="B124">
        <v>2.4538929999999999</v>
      </c>
      <c r="C124">
        <v>2.4313760000000002</v>
      </c>
      <c r="D124">
        <v>22204.041937999998</v>
      </c>
      <c r="E124">
        <v>16814.590493</v>
      </c>
      <c r="F124">
        <v>0.36631200000000003</v>
      </c>
      <c r="G124">
        <v>1.5405</v>
      </c>
      <c r="H124">
        <f t="shared" si="8"/>
        <v>23828.125</v>
      </c>
      <c r="I124" s="4">
        <f t="shared" si="14"/>
        <v>-6.8158239979016461E-2</v>
      </c>
      <c r="J124" s="4">
        <f t="shared" si="15"/>
        <v>-0.29433849734295081</v>
      </c>
      <c r="K124" s="4">
        <f t="shared" si="9"/>
        <v>-0.2427238905442928</v>
      </c>
      <c r="L124">
        <f t="shared" si="10"/>
        <v>2.3828125</v>
      </c>
      <c r="M124" s="4">
        <f t="shared" si="11"/>
        <v>2.9830504918032737E-2</v>
      </c>
      <c r="N124" s="4">
        <f t="shared" si="12"/>
        <v>2.0380747540983693E-2</v>
      </c>
      <c r="O124" s="4">
        <f t="shared" si="13"/>
        <v>-9.1760317177642537E-3</v>
      </c>
    </row>
    <row r="125" spans="1:15" x14ac:dyDescent="0.3">
      <c r="A125">
        <v>123</v>
      </c>
      <c r="B125">
        <v>2.47403</v>
      </c>
      <c r="C125">
        <v>2.451425</v>
      </c>
      <c r="D125">
        <v>22401.664052</v>
      </c>
      <c r="E125">
        <v>16956.050228</v>
      </c>
      <c r="F125">
        <v>0.42943799999999999</v>
      </c>
      <c r="G125">
        <v>1.5443119999999999</v>
      </c>
      <c r="H125">
        <f t="shared" si="8"/>
        <v>24023.4375</v>
      </c>
      <c r="I125" s="4">
        <f t="shared" si="14"/>
        <v>-6.7507967916747957E-2</v>
      </c>
      <c r="J125" s="4">
        <f t="shared" si="15"/>
        <v>-0.29418717750113821</v>
      </c>
      <c r="K125" s="4">
        <f t="shared" si="9"/>
        <v>-0.24308970134358482</v>
      </c>
      <c r="L125">
        <f t="shared" si="10"/>
        <v>2.40234375</v>
      </c>
      <c r="M125" s="4">
        <f t="shared" si="11"/>
        <v>2.9840130081300792E-2</v>
      </c>
      <c r="N125" s="4">
        <f t="shared" si="12"/>
        <v>2.0430569105691042E-2</v>
      </c>
      <c r="O125" s="4">
        <f t="shared" si="13"/>
        <v>-9.1369142653888544E-3</v>
      </c>
    </row>
    <row r="126" spans="1:15" x14ac:dyDescent="0.3">
      <c r="A126">
        <v>124</v>
      </c>
      <c r="B126">
        <v>2.4939019999999998</v>
      </c>
      <c r="C126">
        <v>2.4710779999999999</v>
      </c>
      <c r="D126">
        <v>22654.055982000002</v>
      </c>
      <c r="E126">
        <v>17126.580596</v>
      </c>
      <c r="F126">
        <v>0.51837500000000003</v>
      </c>
      <c r="G126">
        <v>1.5483119999999999</v>
      </c>
      <c r="H126">
        <f t="shared" si="8"/>
        <v>24218.75</v>
      </c>
      <c r="I126" s="4">
        <f t="shared" si="14"/>
        <v>-6.4606720743225737E-2</v>
      </c>
      <c r="J126" s="4">
        <f t="shared" si="15"/>
        <v>-0.29283796248774197</v>
      </c>
      <c r="K126" s="4">
        <f t="shared" si="9"/>
        <v>-0.24399495571088509</v>
      </c>
      <c r="L126">
        <f t="shared" si="10"/>
        <v>2.421875</v>
      </c>
      <c r="M126" s="4">
        <f t="shared" si="11"/>
        <v>2.9740180645161225E-2</v>
      </c>
      <c r="N126" s="4">
        <f t="shared" si="12"/>
        <v>2.0316077419354792E-2</v>
      </c>
      <c r="O126" s="4">
        <f t="shared" si="13"/>
        <v>-9.1519233714877149E-3</v>
      </c>
    </row>
    <row r="127" spans="1:15" x14ac:dyDescent="0.3">
      <c r="A127">
        <v>125</v>
      </c>
      <c r="B127">
        <v>2.5137309999999999</v>
      </c>
      <c r="C127">
        <v>2.490818</v>
      </c>
      <c r="D127">
        <v>22787.892672999998</v>
      </c>
      <c r="E127">
        <v>17279.396832999999</v>
      </c>
      <c r="F127">
        <v>0.65275000000000005</v>
      </c>
      <c r="G127">
        <v>1.5522499999999999</v>
      </c>
      <c r="H127">
        <f t="shared" si="8"/>
        <v>24414.0625</v>
      </c>
      <c r="I127" s="4">
        <f t="shared" si="14"/>
        <v>-6.6607916113920057E-2</v>
      </c>
      <c r="J127" s="4">
        <f t="shared" si="15"/>
        <v>-0.29223590572032004</v>
      </c>
      <c r="K127" s="4">
        <f t="shared" si="9"/>
        <v>-0.24172905845421522</v>
      </c>
      <c r="L127">
        <f t="shared" si="10"/>
        <v>2.44140625</v>
      </c>
      <c r="M127" s="4">
        <f t="shared" si="11"/>
        <v>2.9624217599999975E-2</v>
      </c>
      <c r="N127" s="4">
        <f t="shared" si="12"/>
        <v>2.023905279999999E-2</v>
      </c>
      <c r="O127" s="4">
        <f t="shared" si="13"/>
        <v>-9.1151360268859165E-3</v>
      </c>
    </row>
    <row r="128" spans="1:15" x14ac:dyDescent="0.3">
      <c r="A128">
        <v>126</v>
      </c>
      <c r="B128">
        <v>2.5336479999999999</v>
      </c>
      <c r="C128">
        <v>2.5109110000000001</v>
      </c>
      <c r="D128">
        <v>22995.35295</v>
      </c>
      <c r="E128">
        <v>17460.058119000001</v>
      </c>
      <c r="F128">
        <v>0.87568800000000002</v>
      </c>
      <c r="G128">
        <v>1.5561879999999999</v>
      </c>
      <c r="H128">
        <f t="shared" si="8"/>
        <v>24609.375</v>
      </c>
      <c r="I128" s="4">
        <f t="shared" si="14"/>
        <v>-6.5585657904761882E-2</v>
      </c>
      <c r="J128" s="4">
        <f t="shared" si="15"/>
        <v>-0.29051192405333326</v>
      </c>
      <c r="K128" s="4">
        <f t="shared" si="9"/>
        <v>-0.24071362779408867</v>
      </c>
      <c r="L128">
        <f t="shared" si="10"/>
        <v>2.4609375</v>
      </c>
      <c r="M128" s="4">
        <f t="shared" si="11"/>
        <v>2.9545853968253929E-2</v>
      </c>
      <c r="N128" s="4">
        <f t="shared" si="12"/>
        <v>2.0306692063492109E-2</v>
      </c>
      <c r="O128" s="4">
        <f t="shared" si="13"/>
        <v>-8.9740169115835287E-3</v>
      </c>
    </row>
    <row r="129" spans="1:15" x14ac:dyDescent="0.3">
      <c r="A129">
        <v>127</v>
      </c>
      <c r="B129">
        <v>2.5535199999999998</v>
      </c>
      <c r="C129">
        <v>2.5307390000000001</v>
      </c>
      <c r="D129">
        <v>23180.989120999999</v>
      </c>
      <c r="E129">
        <v>17593.648502</v>
      </c>
      <c r="F129">
        <v>1.318125</v>
      </c>
      <c r="G129">
        <v>1.560125</v>
      </c>
      <c r="H129">
        <f t="shared" si="8"/>
        <v>24804.6875</v>
      </c>
      <c r="I129" s="4">
        <f t="shared" si="14"/>
        <v>-6.5459336224252027E-2</v>
      </c>
      <c r="J129" s="4">
        <f t="shared" si="15"/>
        <v>-0.29071275330519686</v>
      </c>
      <c r="K129" s="4">
        <f t="shared" si="9"/>
        <v>-0.24103115660143876</v>
      </c>
      <c r="L129">
        <f t="shared" si="10"/>
        <v>2.48046875</v>
      </c>
      <c r="M129" s="4">
        <f t="shared" si="11"/>
        <v>2.9450582677165271E-2</v>
      </c>
      <c r="N129" s="4">
        <f t="shared" si="12"/>
        <v>2.0266431496063022E-2</v>
      </c>
      <c r="O129" s="4">
        <f t="shared" si="13"/>
        <v>-8.9214104451892755E-3</v>
      </c>
    </row>
    <row r="130" spans="1:15" x14ac:dyDescent="0.3">
      <c r="A130">
        <v>128</v>
      </c>
      <c r="B130">
        <v>2.5738340000000002</v>
      </c>
      <c r="C130">
        <v>2.5526390000000001</v>
      </c>
      <c r="D130">
        <v>23272.769128</v>
      </c>
      <c r="E130">
        <v>17740.206102</v>
      </c>
      <c r="F130">
        <v>2.0479379999999998</v>
      </c>
      <c r="G130">
        <v>1.563812</v>
      </c>
      <c r="H130">
        <f t="shared" si="8"/>
        <v>25000</v>
      </c>
      <c r="I130" s="4">
        <f t="shared" si="14"/>
        <v>-6.9089234880000003E-2</v>
      </c>
      <c r="J130" s="4">
        <f t="shared" si="15"/>
        <v>-0.29039175591999999</v>
      </c>
      <c r="K130" s="4">
        <f t="shared" si="9"/>
        <v>-0.23772688997905483</v>
      </c>
      <c r="L130">
        <f t="shared" si="10"/>
        <v>2.5</v>
      </c>
      <c r="M130" s="4">
        <f t="shared" si="11"/>
        <v>2.953360000000007E-2</v>
      </c>
      <c r="N130" s="4">
        <f t="shared" si="12"/>
        <v>2.1055600000000042E-2</v>
      </c>
      <c r="O130" s="4">
        <f t="shared" si="13"/>
        <v>-8.2347968050775905E-3</v>
      </c>
    </row>
    <row r="131" spans="1:15" x14ac:dyDescent="0.3">
      <c r="A131">
        <v>129</v>
      </c>
      <c r="B131">
        <v>2.59375</v>
      </c>
      <c r="C131">
        <v>2.5723790000000002</v>
      </c>
      <c r="D131">
        <v>23436.260167</v>
      </c>
      <c r="E131">
        <v>17884.826647000002</v>
      </c>
      <c r="F131">
        <v>2.048</v>
      </c>
      <c r="G131">
        <v>1.567625</v>
      </c>
      <c r="H131">
        <f t="shared" ref="H131:H194" si="16">(50000 / 256) *A131</f>
        <v>25195.3125</v>
      </c>
      <c r="I131" s="4">
        <f t="shared" si="14"/>
        <v>-6.9816650736124017E-2</v>
      </c>
      <c r="J131" s="4">
        <f t="shared" si="15"/>
        <v>-0.29015261680124027</v>
      </c>
      <c r="K131" s="4">
        <f t="shared" ref="K131:K194" si="17">(E131-D131)/D131</f>
        <v>-0.23687369402976804</v>
      </c>
      <c r="L131">
        <f t="shared" ref="L131:L194" si="18">(A131/256) * 5</f>
        <v>2.51953125</v>
      </c>
      <c r="M131" s="4">
        <f t="shared" ref="M131:M194" si="19">(B131-L131)/L131</f>
        <v>2.9457364341085271E-2</v>
      </c>
      <c r="N131" s="4">
        <f t="shared" ref="N131:N194" si="20">(C131-L131)/L131</f>
        <v>2.0975231007752015E-2</v>
      </c>
      <c r="O131" s="4">
        <f t="shared" ref="O131:O194" si="21">(C131-B131)/B131</f>
        <v>-8.2394216867469131E-3</v>
      </c>
    </row>
    <row r="132" spans="1:15" x14ac:dyDescent="0.3">
      <c r="A132">
        <v>130</v>
      </c>
      <c r="B132">
        <v>2.6138870000000001</v>
      </c>
      <c r="C132">
        <v>2.592428</v>
      </c>
      <c r="D132">
        <v>23721.592304999998</v>
      </c>
      <c r="E132">
        <v>18070.000074</v>
      </c>
      <c r="F132">
        <v>2.048</v>
      </c>
      <c r="G132">
        <v>1.571375</v>
      </c>
      <c r="H132">
        <f t="shared" si="16"/>
        <v>25390.625</v>
      </c>
      <c r="I132" s="4">
        <f t="shared" ref="I132:I195" si="22">(D132-$H132)/$H132</f>
        <v>-6.573421075692315E-2</v>
      </c>
      <c r="J132" s="4">
        <f t="shared" ref="J132:J195" si="23">(E132-$H132)/$H132</f>
        <v>-0.28831999708553846</v>
      </c>
      <c r="K132" s="4">
        <f t="shared" si="17"/>
        <v>-0.23824674829306317</v>
      </c>
      <c r="L132">
        <f t="shared" si="18"/>
        <v>2.5390625</v>
      </c>
      <c r="M132" s="4">
        <f t="shared" si="19"/>
        <v>2.9469341538461567E-2</v>
      </c>
      <c r="N132" s="4">
        <f t="shared" si="20"/>
        <v>2.1017796923076905E-2</v>
      </c>
      <c r="O132" s="4">
        <f t="shared" si="21"/>
        <v>-8.2096127338328381E-3</v>
      </c>
    </row>
    <row r="133" spans="1:15" x14ac:dyDescent="0.3">
      <c r="A133">
        <v>131</v>
      </c>
      <c r="B133">
        <v>2.6336279999999999</v>
      </c>
      <c r="C133">
        <v>2.6123449999999999</v>
      </c>
      <c r="D133">
        <v>23965.831199</v>
      </c>
      <c r="E133">
        <v>18182.393174000001</v>
      </c>
      <c r="F133">
        <v>2.048</v>
      </c>
      <c r="G133">
        <v>1.5749379999999999</v>
      </c>
      <c r="H133">
        <f t="shared" si="16"/>
        <v>25585.9375</v>
      </c>
      <c r="I133" s="4">
        <f t="shared" si="22"/>
        <v>-6.3320185199389312E-2</v>
      </c>
      <c r="J133" s="4">
        <f t="shared" si="23"/>
        <v>-0.28935990037496179</v>
      </c>
      <c r="K133" s="4">
        <f t="shared" si="17"/>
        <v>-0.24132015188529407</v>
      </c>
      <c r="L133">
        <f t="shared" si="18"/>
        <v>2.55859375</v>
      </c>
      <c r="M133" s="4">
        <f t="shared" si="19"/>
        <v>2.932636335877857E-2</v>
      </c>
      <c r="N133" s="4">
        <f t="shared" si="20"/>
        <v>2.1008122137404547E-2</v>
      </c>
      <c r="O133" s="4">
        <f t="shared" si="21"/>
        <v>-8.0812476173551997E-3</v>
      </c>
    </row>
    <row r="134" spans="1:15" x14ac:dyDescent="0.3">
      <c r="A134">
        <v>132</v>
      </c>
      <c r="B134">
        <v>2.653721</v>
      </c>
      <c r="C134">
        <v>2.6323059999999998</v>
      </c>
      <c r="D134">
        <v>24103.184473000001</v>
      </c>
      <c r="E134">
        <v>18362.553024000001</v>
      </c>
      <c r="F134">
        <v>2.048</v>
      </c>
      <c r="G134">
        <v>1.5786880000000001</v>
      </c>
      <c r="H134">
        <f t="shared" si="16"/>
        <v>25781.25</v>
      </c>
      <c r="I134" s="4">
        <f t="shared" si="22"/>
        <v>-6.5088602259393891E-2</v>
      </c>
      <c r="J134" s="4">
        <f t="shared" si="23"/>
        <v>-0.28775551906909086</v>
      </c>
      <c r="K134" s="4">
        <f t="shared" si="17"/>
        <v>-0.23816900440813385</v>
      </c>
      <c r="L134">
        <f t="shared" si="18"/>
        <v>2.578125</v>
      </c>
      <c r="M134" s="4">
        <f t="shared" si="19"/>
        <v>2.9322084848484847E-2</v>
      </c>
      <c r="N134" s="4">
        <f t="shared" si="20"/>
        <v>2.1015660606060534E-2</v>
      </c>
      <c r="O134" s="4">
        <f t="shared" si="21"/>
        <v>-8.0698008569854117E-3</v>
      </c>
    </row>
    <row r="135" spans="1:15" x14ac:dyDescent="0.3">
      <c r="A135">
        <v>133</v>
      </c>
      <c r="B135">
        <v>2.6734610000000001</v>
      </c>
      <c r="C135">
        <v>2.652266</v>
      </c>
      <c r="D135">
        <v>24306.271520999999</v>
      </c>
      <c r="E135">
        <v>18485.515821000001</v>
      </c>
      <c r="F135">
        <v>2.048</v>
      </c>
      <c r="G135">
        <v>1.5820620000000001</v>
      </c>
      <c r="H135">
        <f t="shared" si="16"/>
        <v>25976.5625</v>
      </c>
      <c r="I135" s="4">
        <f t="shared" si="22"/>
        <v>-6.4299923402105316E-2</v>
      </c>
      <c r="J135" s="4">
        <f t="shared" si="23"/>
        <v>-0.28837713531187964</v>
      </c>
      <c r="K135" s="4">
        <f t="shared" si="17"/>
        <v>-0.2394754660323371</v>
      </c>
      <c r="L135">
        <f t="shared" si="18"/>
        <v>2.59765625</v>
      </c>
      <c r="M135" s="4">
        <f t="shared" si="19"/>
        <v>2.9181978947368455E-2</v>
      </c>
      <c r="N135" s="4">
        <f t="shared" si="20"/>
        <v>2.1022700751879703E-2</v>
      </c>
      <c r="O135" s="4">
        <f t="shared" si="21"/>
        <v>-7.92792563646901E-3</v>
      </c>
    </row>
    <row r="136" spans="1:15" x14ac:dyDescent="0.3">
      <c r="A136">
        <v>134</v>
      </c>
      <c r="B136">
        <v>2.693422</v>
      </c>
      <c r="C136">
        <v>2.6719189999999999</v>
      </c>
      <c r="D136">
        <v>24505.907153</v>
      </c>
      <c r="E136">
        <v>18660.638638</v>
      </c>
      <c r="F136">
        <v>2.048</v>
      </c>
      <c r="G136">
        <v>1.5858749999999999</v>
      </c>
      <c r="H136">
        <f t="shared" si="16"/>
        <v>26171.875</v>
      </c>
      <c r="I136" s="4">
        <f t="shared" si="22"/>
        <v>-6.3654890870447761E-2</v>
      </c>
      <c r="J136" s="4">
        <f t="shared" si="23"/>
        <v>-0.28699649383164177</v>
      </c>
      <c r="K136" s="4">
        <f t="shared" si="17"/>
        <v>-0.23852487804290179</v>
      </c>
      <c r="L136">
        <f t="shared" si="18"/>
        <v>2.6171875</v>
      </c>
      <c r="M136" s="4">
        <f t="shared" si="19"/>
        <v>2.9128405970149249E-2</v>
      </c>
      <c r="N136" s="4">
        <f t="shared" si="20"/>
        <v>2.0912334328358182E-2</v>
      </c>
      <c r="O136" s="4">
        <f t="shared" si="21"/>
        <v>-7.983524304769193E-3</v>
      </c>
    </row>
    <row r="137" spans="1:15" x14ac:dyDescent="0.3">
      <c r="A137">
        <v>135</v>
      </c>
      <c r="B137">
        <v>2.7134710000000002</v>
      </c>
      <c r="C137">
        <v>2.6919680000000001</v>
      </c>
      <c r="D137">
        <v>24734.569411</v>
      </c>
      <c r="E137">
        <v>18819.734627999998</v>
      </c>
      <c r="F137">
        <v>2.048</v>
      </c>
      <c r="G137">
        <v>1.5894999999999999</v>
      </c>
      <c r="H137">
        <f t="shared" si="16"/>
        <v>26367.1875</v>
      </c>
      <c r="I137" s="4">
        <f t="shared" si="22"/>
        <v>-6.1918552708740728E-2</v>
      </c>
      <c r="J137" s="4">
        <f t="shared" si="23"/>
        <v>-0.28624413855288894</v>
      </c>
      <c r="K137" s="4">
        <f t="shared" si="17"/>
        <v>-0.23913231254268558</v>
      </c>
      <c r="L137">
        <f t="shared" si="18"/>
        <v>2.63671875</v>
      </c>
      <c r="M137" s="4">
        <f t="shared" si="19"/>
        <v>2.9109001481481551E-2</v>
      </c>
      <c r="N137" s="4">
        <f t="shared" si="20"/>
        <v>2.0953789629629682E-2</v>
      </c>
      <c r="O137" s="4">
        <f t="shared" si="21"/>
        <v>-7.9245365069315465E-3</v>
      </c>
    </row>
    <row r="138" spans="1:15" x14ac:dyDescent="0.3">
      <c r="A138">
        <v>136</v>
      </c>
      <c r="B138">
        <v>2.7318009999999999</v>
      </c>
      <c r="C138">
        <v>2.7125010000000001</v>
      </c>
      <c r="D138">
        <v>24927.022384</v>
      </c>
      <c r="E138">
        <v>18976.433992999999</v>
      </c>
      <c r="F138">
        <v>2.048</v>
      </c>
      <c r="G138">
        <v>1.592938</v>
      </c>
      <c r="H138">
        <f t="shared" si="16"/>
        <v>26562.5</v>
      </c>
      <c r="I138" s="4">
        <f t="shared" si="22"/>
        <v>-6.1570922014117652E-2</v>
      </c>
      <c r="J138" s="4">
        <f t="shared" si="23"/>
        <v>-0.28559307320470595</v>
      </c>
      <c r="K138" s="4">
        <f t="shared" si="17"/>
        <v>-0.23872038542475604</v>
      </c>
      <c r="L138">
        <f t="shared" si="18"/>
        <v>2.65625</v>
      </c>
      <c r="M138" s="4">
        <f t="shared" si="19"/>
        <v>2.8442729411764678E-2</v>
      </c>
      <c r="N138" s="4">
        <f t="shared" si="20"/>
        <v>2.1176847058823549E-2</v>
      </c>
      <c r="O138" s="4">
        <f t="shared" si="21"/>
        <v>-7.0649362819619269E-3</v>
      </c>
    </row>
    <row r="139" spans="1:15" x14ac:dyDescent="0.3">
      <c r="A139">
        <v>137</v>
      </c>
      <c r="B139">
        <v>2.7514090000000002</v>
      </c>
      <c r="C139">
        <v>2.7323740000000001</v>
      </c>
      <c r="D139">
        <v>25084.963521999998</v>
      </c>
      <c r="E139">
        <v>19130.790481</v>
      </c>
      <c r="F139">
        <v>2.048</v>
      </c>
      <c r="G139">
        <v>1.596563</v>
      </c>
      <c r="H139">
        <f t="shared" si="16"/>
        <v>26757.8125</v>
      </c>
      <c r="I139" s="4">
        <f t="shared" si="22"/>
        <v>-6.2518151586569412E-2</v>
      </c>
      <c r="J139" s="4">
        <f t="shared" si="23"/>
        <v>-0.28503907107503651</v>
      </c>
      <c r="K139" s="4">
        <f t="shared" si="17"/>
        <v>-0.23736024315036669</v>
      </c>
      <c r="L139">
        <f t="shared" si="18"/>
        <v>2.67578125</v>
      </c>
      <c r="M139" s="4">
        <f t="shared" si="19"/>
        <v>2.8263801459854094E-2</v>
      </c>
      <c r="N139" s="4">
        <f t="shared" si="20"/>
        <v>2.1149991240875944E-2</v>
      </c>
      <c r="O139" s="4">
        <f t="shared" si="21"/>
        <v>-6.9182735100452655E-3</v>
      </c>
    </row>
    <row r="140" spans="1:15" x14ac:dyDescent="0.3">
      <c r="A140">
        <v>138</v>
      </c>
      <c r="B140">
        <v>2.7712819999999998</v>
      </c>
      <c r="C140">
        <v>2.751938</v>
      </c>
      <c r="D140">
        <v>25225.257133999999</v>
      </c>
      <c r="E140">
        <v>19282.856248</v>
      </c>
      <c r="F140">
        <v>2.048</v>
      </c>
      <c r="G140">
        <v>1.5998749999999999</v>
      </c>
      <c r="H140">
        <f t="shared" si="16"/>
        <v>26953.125</v>
      </c>
      <c r="I140" s="4">
        <f t="shared" si="22"/>
        <v>-6.410640198492755E-2</v>
      </c>
      <c r="J140" s="4">
        <f t="shared" si="23"/>
        <v>-0.28457808703072462</v>
      </c>
      <c r="K140" s="4">
        <f t="shared" si="17"/>
        <v>-0.23557345141947045</v>
      </c>
      <c r="L140">
        <f t="shared" si="18"/>
        <v>2.6953125</v>
      </c>
      <c r="M140" s="4">
        <f t="shared" si="19"/>
        <v>2.8185785507246302E-2</v>
      </c>
      <c r="N140" s="4">
        <f t="shared" si="20"/>
        <v>2.100888115942029E-2</v>
      </c>
      <c r="O140" s="4">
        <f t="shared" si="21"/>
        <v>-6.9801629715055364E-3</v>
      </c>
    </row>
    <row r="141" spans="1:15" x14ac:dyDescent="0.3">
      <c r="A141">
        <v>139</v>
      </c>
      <c r="B141">
        <v>2.7914629999999998</v>
      </c>
      <c r="C141">
        <v>2.771855</v>
      </c>
      <c r="D141">
        <v>25470.435532</v>
      </c>
      <c r="E141">
        <v>19420.280789</v>
      </c>
      <c r="F141">
        <v>2.048</v>
      </c>
      <c r="G141">
        <v>1.6034379999999999</v>
      </c>
      <c r="H141">
        <f t="shared" si="16"/>
        <v>27148.4375</v>
      </c>
      <c r="I141" s="4">
        <f t="shared" si="22"/>
        <v>-6.1808417814100736E-2</v>
      </c>
      <c r="J141" s="4">
        <f t="shared" si="23"/>
        <v>-0.28466303856345321</v>
      </c>
      <c r="K141" s="4">
        <f t="shared" si="17"/>
        <v>-0.23753636781745782</v>
      </c>
      <c r="L141">
        <f t="shared" si="18"/>
        <v>2.71484375</v>
      </c>
      <c r="M141" s="4">
        <f t="shared" si="19"/>
        <v>2.8222342446043092E-2</v>
      </c>
      <c r="N141" s="4">
        <f t="shared" si="20"/>
        <v>2.0999827338129481E-2</v>
      </c>
      <c r="O141" s="4">
        <f t="shared" si="21"/>
        <v>-7.0242736514866391E-3</v>
      </c>
    </row>
    <row r="142" spans="1:15" x14ac:dyDescent="0.3">
      <c r="A142">
        <v>140</v>
      </c>
      <c r="B142">
        <v>2.811159</v>
      </c>
      <c r="C142">
        <v>2.7918150000000002</v>
      </c>
      <c r="D142">
        <v>25620.985846</v>
      </c>
      <c r="E142">
        <v>19580.316604</v>
      </c>
      <c r="F142">
        <v>2.048</v>
      </c>
      <c r="G142">
        <v>1.606625</v>
      </c>
      <c r="H142">
        <f t="shared" si="16"/>
        <v>27343.75</v>
      </c>
      <c r="I142" s="4">
        <f t="shared" si="22"/>
        <v>-6.3003946203428585E-2</v>
      </c>
      <c r="J142" s="4">
        <f t="shared" si="23"/>
        <v>-0.28391984991085717</v>
      </c>
      <c r="K142" s="4">
        <f t="shared" si="17"/>
        <v>-0.23577036724147293</v>
      </c>
      <c r="L142">
        <f t="shared" si="18"/>
        <v>2.734375</v>
      </c>
      <c r="M142" s="4">
        <f t="shared" si="19"/>
        <v>2.8081005714285699E-2</v>
      </c>
      <c r="N142" s="4">
        <f t="shared" si="20"/>
        <v>2.100662857142863E-2</v>
      </c>
      <c r="O142" s="4">
        <f t="shared" si="21"/>
        <v>-6.8811475978412485E-3</v>
      </c>
    </row>
    <row r="143" spans="1:15" x14ac:dyDescent="0.3">
      <c r="A143">
        <v>141</v>
      </c>
      <c r="B143">
        <v>2.8311199999999999</v>
      </c>
      <c r="C143">
        <v>2.8116880000000002</v>
      </c>
      <c r="D143">
        <v>25857.688859000002</v>
      </c>
      <c r="E143">
        <v>19761.851476</v>
      </c>
      <c r="F143">
        <v>2.048</v>
      </c>
      <c r="G143">
        <v>1.60975</v>
      </c>
      <c r="H143">
        <f t="shared" si="16"/>
        <v>27539.0625</v>
      </c>
      <c r="I143" s="4">
        <f t="shared" si="22"/>
        <v>-6.1054135049077952E-2</v>
      </c>
      <c r="J143" s="4">
        <f t="shared" si="23"/>
        <v>-0.28240652796368793</v>
      </c>
      <c r="K143" s="4">
        <f t="shared" si="17"/>
        <v>-0.23574563899504464</v>
      </c>
      <c r="L143">
        <f t="shared" si="18"/>
        <v>2.75390625</v>
      </c>
      <c r="M143" s="4">
        <f t="shared" si="19"/>
        <v>2.8037900709219805E-2</v>
      </c>
      <c r="N143" s="4">
        <f t="shared" si="20"/>
        <v>2.09817418439717E-2</v>
      </c>
      <c r="O143" s="4">
        <f t="shared" si="21"/>
        <v>-6.8637147136114589E-3</v>
      </c>
    </row>
    <row r="144" spans="1:15" x14ac:dyDescent="0.3">
      <c r="A144">
        <v>142</v>
      </c>
      <c r="B144">
        <v>2.8510810000000002</v>
      </c>
      <c r="C144">
        <v>2.8313839999999999</v>
      </c>
      <c r="D144">
        <v>26003.079591000002</v>
      </c>
      <c r="E144">
        <v>19904.728844000001</v>
      </c>
      <c r="F144">
        <v>2.048</v>
      </c>
      <c r="G144">
        <v>1.6131880000000001</v>
      </c>
      <c r="H144">
        <f t="shared" si="16"/>
        <v>27734.375</v>
      </c>
      <c r="I144" s="4">
        <f t="shared" si="22"/>
        <v>-6.2424172493521071E-2</v>
      </c>
      <c r="J144" s="4">
        <f t="shared" si="23"/>
        <v>-0.28230836844169011</v>
      </c>
      <c r="K144" s="4">
        <f t="shared" si="17"/>
        <v>-0.23452417340255027</v>
      </c>
      <c r="L144">
        <f t="shared" si="18"/>
        <v>2.7734375</v>
      </c>
      <c r="M144" s="4">
        <f t="shared" si="19"/>
        <v>2.799540281690148E-2</v>
      </c>
      <c r="N144" s="4">
        <f t="shared" si="20"/>
        <v>2.0893385915492921E-2</v>
      </c>
      <c r="O144" s="4">
        <f t="shared" si="21"/>
        <v>-6.9086076474152418E-3</v>
      </c>
    </row>
    <row r="145" spans="1:15" x14ac:dyDescent="0.3">
      <c r="A145">
        <v>143</v>
      </c>
      <c r="B145">
        <v>2.8713060000000001</v>
      </c>
      <c r="C145">
        <v>2.8513449999999998</v>
      </c>
      <c r="D145">
        <v>26160.80013</v>
      </c>
      <c r="E145">
        <v>20045.565350000001</v>
      </c>
      <c r="F145">
        <v>2.048</v>
      </c>
      <c r="G145">
        <v>1.616438</v>
      </c>
      <c r="H145">
        <f t="shared" si="16"/>
        <v>27929.6875</v>
      </c>
      <c r="I145" s="4">
        <f t="shared" si="22"/>
        <v>-6.3333589751048969E-2</v>
      </c>
      <c r="J145" s="4">
        <f t="shared" si="23"/>
        <v>-0.28228465320279716</v>
      </c>
      <c r="K145" s="4">
        <f t="shared" si="17"/>
        <v>-0.23375564774822499</v>
      </c>
      <c r="L145">
        <f t="shared" si="18"/>
        <v>2.79296875</v>
      </c>
      <c r="M145" s="4">
        <f t="shared" si="19"/>
        <v>2.8048022377622425E-2</v>
      </c>
      <c r="N145" s="4">
        <f t="shared" si="20"/>
        <v>2.0901146853146781E-2</v>
      </c>
      <c r="O145" s="4">
        <f t="shared" si="21"/>
        <v>-6.9518887920689536E-3</v>
      </c>
    </row>
    <row r="146" spans="1:15" x14ac:dyDescent="0.3">
      <c r="A146">
        <v>144</v>
      </c>
      <c r="B146">
        <v>2.8919269999999999</v>
      </c>
      <c r="C146">
        <v>2.8715700000000002</v>
      </c>
      <c r="D146">
        <v>26358.264353999999</v>
      </c>
      <c r="E146">
        <v>20195.885502000001</v>
      </c>
      <c r="F146">
        <v>2.048</v>
      </c>
      <c r="G146">
        <v>1.6198129999999999</v>
      </c>
      <c r="H146">
        <f t="shared" si="16"/>
        <v>28125</v>
      </c>
      <c r="I146" s="4">
        <f t="shared" si="22"/>
        <v>-6.2817267413333364E-2</v>
      </c>
      <c r="J146" s="4">
        <f t="shared" si="23"/>
        <v>-0.28192407103999995</v>
      </c>
      <c r="K146" s="4">
        <f t="shared" si="17"/>
        <v>-0.23379304377698246</v>
      </c>
      <c r="L146">
        <f t="shared" si="18"/>
        <v>2.8125</v>
      </c>
      <c r="M146" s="4">
        <f t="shared" si="19"/>
        <v>2.824071111111108E-2</v>
      </c>
      <c r="N146" s="4">
        <f t="shared" si="20"/>
        <v>2.1002666666666728E-2</v>
      </c>
      <c r="O146" s="4">
        <f t="shared" si="21"/>
        <v>-7.0392509907752643E-3</v>
      </c>
    </row>
    <row r="147" spans="1:15" x14ac:dyDescent="0.3">
      <c r="A147">
        <v>145</v>
      </c>
      <c r="B147">
        <v>2.9116680000000001</v>
      </c>
      <c r="C147">
        <v>2.891311</v>
      </c>
      <c r="D147">
        <v>26552.157335</v>
      </c>
      <c r="E147">
        <v>20366.488781</v>
      </c>
      <c r="F147">
        <v>2.048</v>
      </c>
      <c r="G147">
        <v>1.6228750000000001</v>
      </c>
      <c r="H147">
        <f t="shared" si="16"/>
        <v>28320.3125</v>
      </c>
      <c r="I147" s="4">
        <f t="shared" si="22"/>
        <v>-6.2434168584827587E-2</v>
      </c>
      <c r="J147" s="4">
        <f t="shared" si="23"/>
        <v>-0.28085225821572413</v>
      </c>
      <c r="K147" s="4">
        <f t="shared" si="17"/>
        <v>-0.23296293690781567</v>
      </c>
      <c r="L147">
        <f t="shared" si="18"/>
        <v>2.83203125</v>
      </c>
      <c r="M147" s="4">
        <f t="shared" si="19"/>
        <v>2.8120011034482809E-2</v>
      </c>
      <c r="N147" s="4">
        <f t="shared" si="20"/>
        <v>2.0931884137931022E-2</v>
      </c>
      <c r="O147" s="4">
        <f t="shared" si="21"/>
        <v>-6.9915251326731548E-3</v>
      </c>
    </row>
    <row r="148" spans="1:15" x14ac:dyDescent="0.3">
      <c r="A148">
        <v>146</v>
      </c>
      <c r="B148">
        <v>2.9317169999999999</v>
      </c>
      <c r="C148">
        <v>2.911095</v>
      </c>
      <c r="D148">
        <v>26782.935710000002</v>
      </c>
      <c r="E148">
        <v>20511.939674000001</v>
      </c>
      <c r="F148">
        <v>2.048</v>
      </c>
      <c r="G148">
        <v>1.6259380000000001</v>
      </c>
      <c r="H148">
        <f t="shared" si="16"/>
        <v>28515.625</v>
      </c>
      <c r="I148" s="4">
        <f t="shared" si="22"/>
        <v>-6.0762802498630079E-2</v>
      </c>
      <c r="J148" s="4">
        <f t="shared" si="23"/>
        <v>-0.28067718403506847</v>
      </c>
      <c r="K148" s="4">
        <f t="shared" si="17"/>
        <v>-0.23414147365699667</v>
      </c>
      <c r="L148">
        <f t="shared" si="18"/>
        <v>2.8515625</v>
      </c>
      <c r="M148" s="4">
        <f t="shared" si="19"/>
        <v>2.810897534246572E-2</v>
      </c>
      <c r="N148" s="4">
        <f t="shared" si="20"/>
        <v>2.0877150684931504E-2</v>
      </c>
      <c r="O148" s="4">
        <f t="shared" si="21"/>
        <v>-7.0341032234693592E-3</v>
      </c>
    </row>
    <row r="149" spans="1:15" x14ac:dyDescent="0.3">
      <c r="A149">
        <v>147</v>
      </c>
      <c r="B149">
        <v>2.9516330000000002</v>
      </c>
      <c r="C149">
        <v>2.930968</v>
      </c>
      <c r="D149">
        <v>26916.360814</v>
      </c>
      <c r="E149">
        <v>20677.061035999999</v>
      </c>
      <c r="F149">
        <v>2.048</v>
      </c>
      <c r="G149">
        <v>1.6292500000000001</v>
      </c>
      <c r="H149">
        <f t="shared" si="16"/>
        <v>28710.9375</v>
      </c>
      <c r="I149" s="4">
        <f t="shared" si="22"/>
        <v>-6.2504983893333352E-2</v>
      </c>
      <c r="J149" s="4">
        <f t="shared" si="23"/>
        <v>-0.27981937071891161</v>
      </c>
      <c r="K149" s="4">
        <f t="shared" si="17"/>
        <v>-0.23180324491544024</v>
      </c>
      <c r="L149">
        <f t="shared" si="18"/>
        <v>2.87109375</v>
      </c>
      <c r="M149" s="4">
        <f t="shared" si="19"/>
        <v>2.8051765986394618E-2</v>
      </c>
      <c r="N149" s="4">
        <f t="shared" si="20"/>
        <v>2.0854160544217692E-2</v>
      </c>
      <c r="O149" s="4">
        <f t="shared" si="21"/>
        <v>-7.0012091611660913E-3</v>
      </c>
    </row>
    <row r="150" spans="1:15" x14ac:dyDescent="0.3">
      <c r="A150">
        <v>148</v>
      </c>
      <c r="B150">
        <v>2.9716819999999999</v>
      </c>
      <c r="C150">
        <v>2.950796</v>
      </c>
      <c r="D150">
        <v>27100.334992</v>
      </c>
      <c r="E150">
        <v>20839.353685999999</v>
      </c>
      <c r="F150">
        <v>2.048</v>
      </c>
      <c r="G150">
        <v>1.6320619999999999</v>
      </c>
      <c r="H150">
        <f t="shared" si="16"/>
        <v>28906.25</v>
      </c>
      <c r="I150" s="4">
        <f t="shared" si="22"/>
        <v>-6.2474897574054049E-2</v>
      </c>
      <c r="J150" s="4">
        <f t="shared" si="23"/>
        <v>-0.27907100761945952</v>
      </c>
      <c r="K150" s="4">
        <f t="shared" si="17"/>
        <v>-0.23102966468304686</v>
      </c>
      <c r="L150">
        <f t="shared" si="18"/>
        <v>2.890625</v>
      </c>
      <c r="M150" s="4">
        <f t="shared" si="19"/>
        <v>2.8041340540540517E-2</v>
      </c>
      <c r="N150" s="4">
        <f t="shared" si="20"/>
        <v>2.0815913513513504E-2</v>
      </c>
      <c r="O150" s="4">
        <f t="shared" si="21"/>
        <v>-7.0283428711416501E-3</v>
      </c>
    </row>
    <row r="151" spans="1:15" x14ac:dyDescent="0.3">
      <c r="A151">
        <v>149</v>
      </c>
      <c r="B151">
        <v>2.991555</v>
      </c>
      <c r="C151">
        <v>2.970933</v>
      </c>
      <c r="D151">
        <v>27293.886822</v>
      </c>
      <c r="E151">
        <v>20998.889695000002</v>
      </c>
      <c r="F151">
        <v>2.048</v>
      </c>
      <c r="G151">
        <v>1.6354379999999999</v>
      </c>
      <c r="H151">
        <f t="shared" si="16"/>
        <v>29101.5625</v>
      </c>
      <c r="I151" s="4">
        <f t="shared" si="22"/>
        <v>-6.2116103834630856E-2</v>
      </c>
      <c r="J151" s="4">
        <f t="shared" si="23"/>
        <v>-0.27842741450738251</v>
      </c>
      <c r="K151" s="4">
        <f t="shared" si="17"/>
        <v>-0.23063762109271924</v>
      </c>
      <c r="L151">
        <f t="shared" si="18"/>
        <v>2.91015625</v>
      </c>
      <c r="M151" s="4">
        <f t="shared" si="19"/>
        <v>2.7970577181208042E-2</v>
      </c>
      <c r="N151" s="4">
        <f t="shared" si="20"/>
        <v>2.088435973154364E-2</v>
      </c>
      <c r="O151" s="4">
        <f t="shared" si="21"/>
        <v>-6.8934049348916933E-3</v>
      </c>
    </row>
    <row r="152" spans="1:15" x14ac:dyDescent="0.3">
      <c r="A152">
        <v>150</v>
      </c>
      <c r="B152">
        <v>3.0115159999999999</v>
      </c>
      <c r="C152">
        <v>2.9905409999999999</v>
      </c>
      <c r="D152">
        <v>27521.424169000002</v>
      </c>
      <c r="E152">
        <v>21166.101430999999</v>
      </c>
      <c r="F152">
        <v>2.048</v>
      </c>
      <c r="G152">
        <v>1.6384380000000001</v>
      </c>
      <c r="H152">
        <f t="shared" si="16"/>
        <v>29296.875</v>
      </c>
      <c r="I152" s="4">
        <f t="shared" si="22"/>
        <v>-6.0602055031466609E-2</v>
      </c>
      <c r="J152" s="4">
        <f t="shared" si="23"/>
        <v>-0.27753040448853339</v>
      </c>
      <c r="K152" s="4">
        <f t="shared" si="17"/>
        <v>-0.23092274218710698</v>
      </c>
      <c r="L152">
        <f t="shared" si="18"/>
        <v>2.9296875</v>
      </c>
      <c r="M152" s="4">
        <f t="shared" si="19"/>
        <v>2.793079466666662E-2</v>
      </c>
      <c r="N152" s="4">
        <f t="shared" si="20"/>
        <v>2.0771327999999964E-2</v>
      </c>
      <c r="O152" s="4">
        <f t="shared" si="21"/>
        <v>-6.9649306196613156E-3</v>
      </c>
    </row>
    <row r="153" spans="1:15" x14ac:dyDescent="0.3">
      <c r="A153">
        <v>151</v>
      </c>
      <c r="B153">
        <v>3.0314320000000001</v>
      </c>
      <c r="C153">
        <v>3.010634</v>
      </c>
      <c r="D153">
        <v>27743.967401999998</v>
      </c>
      <c r="E153">
        <v>21309.968035999998</v>
      </c>
      <c r="F153">
        <v>2.048</v>
      </c>
      <c r="G153">
        <v>1.641438</v>
      </c>
      <c r="H153">
        <f t="shared" si="16"/>
        <v>29492.1875</v>
      </c>
      <c r="I153" s="4">
        <f t="shared" si="22"/>
        <v>-5.9277396700397403E-2</v>
      </c>
      <c r="J153" s="4">
        <f t="shared" si="23"/>
        <v>-0.27743684540185437</v>
      </c>
      <c r="K153" s="4">
        <f t="shared" si="17"/>
        <v>-0.23190624732121723</v>
      </c>
      <c r="L153">
        <f t="shared" si="18"/>
        <v>2.94921875</v>
      </c>
      <c r="M153" s="4">
        <f t="shared" si="19"/>
        <v>2.787628079470203E-2</v>
      </c>
      <c r="N153" s="4">
        <f t="shared" si="20"/>
        <v>2.0824243708609282E-2</v>
      </c>
      <c r="O153" s="4">
        <f t="shared" si="21"/>
        <v>-6.8607839463329847E-3</v>
      </c>
    </row>
    <row r="154" spans="1:15" x14ac:dyDescent="0.3">
      <c r="A154">
        <v>152</v>
      </c>
      <c r="B154">
        <v>3.053728</v>
      </c>
      <c r="C154">
        <v>3.0311680000000001</v>
      </c>
      <c r="D154">
        <v>27853.417326999999</v>
      </c>
      <c r="E154">
        <v>21471.665145999999</v>
      </c>
      <c r="F154">
        <v>2.048</v>
      </c>
      <c r="G154">
        <v>1.6443129999999999</v>
      </c>
      <c r="H154">
        <f t="shared" si="16"/>
        <v>29687.5</v>
      </c>
      <c r="I154" s="4">
        <f t="shared" si="22"/>
        <v>-6.1779626880000028E-2</v>
      </c>
      <c r="J154" s="4">
        <f t="shared" si="23"/>
        <v>-0.27674391087157896</v>
      </c>
      <c r="K154" s="4">
        <f t="shared" si="17"/>
        <v>-0.22911918153805069</v>
      </c>
      <c r="L154">
        <f t="shared" si="18"/>
        <v>2.96875</v>
      </c>
      <c r="M154" s="4">
        <f t="shared" si="19"/>
        <v>2.8624168421052632E-2</v>
      </c>
      <c r="N154" s="4">
        <f t="shared" si="20"/>
        <v>2.1025010526315818E-2</v>
      </c>
      <c r="O154" s="4">
        <f t="shared" si="21"/>
        <v>-7.3876913726435081E-3</v>
      </c>
    </row>
    <row r="155" spans="1:15" x14ac:dyDescent="0.3">
      <c r="A155">
        <v>153</v>
      </c>
      <c r="B155">
        <v>3.0735570000000001</v>
      </c>
      <c r="C155">
        <v>3.0511729999999999</v>
      </c>
      <c r="D155">
        <v>28092.413742000001</v>
      </c>
      <c r="E155">
        <v>21630.531982</v>
      </c>
      <c r="F155">
        <v>2.048</v>
      </c>
      <c r="G155">
        <v>1.6473120000000001</v>
      </c>
      <c r="H155">
        <f t="shared" si="16"/>
        <v>29882.8125</v>
      </c>
      <c r="I155" s="4">
        <f t="shared" si="22"/>
        <v>-5.9913997653333315E-2</v>
      </c>
      <c r="J155" s="4">
        <f t="shared" si="23"/>
        <v>-0.27615474674614376</v>
      </c>
      <c r="K155" s="4">
        <f t="shared" si="17"/>
        <v>-0.2300223049306391</v>
      </c>
      <c r="L155">
        <f t="shared" si="18"/>
        <v>2.98828125</v>
      </c>
      <c r="M155" s="4">
        <f t="shared" si="19"/>
        <v>2.8536721568627483E-2</v>
      </c>
      <c r="N155" s="4">
        <f t="shared" si="20"/>
        <v>2.1046128104575134E-2</v>
      </c>
      <c r="O155" s="4">
        <f t="shared" si="21"/>
        <v>-7.2827671652096193E-3</v>
      </c>
    </row>
    <row r="156" spans="1:15" x14ac:dyDescent="0.3">
      <c r="A156">
        <v>154</v>
      </c>
      <c r="B156">
        <v>3.0933860000000002</v>
      </c>
      <c r="C156">
        <v>3.0710890000000002</v>
      </c>
      <c r="D156">
        <v>28279.526435</v>
      </c>
      <c r="E156">
        <v>21805.965732000001</v>
      </c>
      <c r="F156">
        <v>2.048</v>
      </c>
      <c r="G156">
        <v>1.65025</v>
      </c>
      <c r="H156">
        <f t="shared" si="16"/>
        <v>30078.125</v>
      </c>
      <c r="I156" s="4">
        <f t="shared" si="22"/>
        <v>-5.9797562680519487E-2</v>
      </c>
      <c r="J156" s="4">
        <f t="shared" si="23"/>
        <v>-0.27502243800103893</v>
      </c>
      <c r="K156" s="4">
        <f t="shared" si="17"/>
        <v>-0.22891333480705081</v>
      </c>
      <c r="L156">
        <f t="shared" si="18"/>
        <v>3.0078125</v>
      </c>
      <c r="M156" s="4">
        <f t="shared" si="19"/>
        <v>2.8450410389610454E-2</v>
      </c>
      <c r="N156" s="4">
        <f t="shared" si="20"/>
        <v>2.1037381818181877E-2</v>
      </c>
      <c r="O156" s="4">
        <f t="shared" si="21"/>
        <v>-7.2079591748330177E-3</v>
      </c>
    </row>
    <row r="157" spans="1:15" x14ac:dyDescent="0.3">
      <c r="A157">
        <v>155</v>
      </c>
      <c r="B157">
        <v>3.113302</v>
      </c>
      <c r="C157">
        <v>3.09083</v>
      </c>
      <c r="D157">
        <v>28497.159402000001</v>
      </c>
      <c r="E157">
        <v>21968.540743000001</v>
      </c>
      <c r="F157">
        <v>2.048</v>
      </c>
      <c r="G157">
        <v>1.6532500000000001</v>
      </c>
      <c r="H157">
        <f t="shared" si="16"/>
        <v>30273.4375</v>
      </c>
      <c r="I157" s="4">
        <f t="shared" si="22"/>
        <v>-5.8674476527483831E-2</v>
      </c>
      <c r="J157" s="4">
        <f t="shared" si="23"/>
        <v>-0.27432949287638703</v>
      </c>
      <c r="K157" s="4">
        <f t="shared" si="17"/>
        <v>-0.22909717305163424</v>
      </c>
      <c r="L157">
        <f t="shared" si="18"/>
        <v>3.02734375</v>
      </c>
      <c r="M157" s="4">
        <f t="shared" si="19"/>
        <v>2.839395096774194E-2</v>
      </c>
      <c r="N157" s="4">
        <f t="shared" si="20"/>
        <v>2.097094193548386E-2</v>
      </c>
      <c r="O157" s="4">
        <f t="shared" si="21"/>
        <v>-7.2180597963191649E-3</v>
      </c>
    </row>
    <row r="158" spans="1:15" x14ac:dyDescent="0.3">
      <c r="A158">
        <v>156</v>
      </c>
      <c r="B158">
        <v>3.1331310000000001</v>
      </c>
      <c r="C158">
        <v>3.1107909999999999</v>
      </c>
      <c r="D158">
        <v>28654.440616</v>
      </c>
      <c r="E158">
        <v>22137.476332999999</v>
      </c>
      <c r="F158">
        <v>2.048</v>
      </c>
      <c r="G158">
        <v>1.6560619999999999</v>
      </c>
      <c r="H158">
        <f t="shared" si="16"/>
        <v>30468.75</v>
      </c>
      <c r="I158" s="4">
        <f t="shared" si="22"/>
        <v>-5.9546564397948726E-2</v>
      </c>
      <c r="J158" s="4">
        <f t="shared" si="23"/>
        <v>-0.27343667419897438</v>
      </c>
      <c r="K158" s="4">
        <f t="shared" si="17"/>
        <v>-0.22743296127585452</v>
      </c>
      <c r="L158">
        <f t="shared" si="18"/>
        <v>3.046875</v>
      </c>
      <c r="M158" s="4">
        <f t="shared" si="19"/>
        <v>2.8309661538461574E-2</v>
      </c>
      <c r="N158" s="4">
        <f t="shared" si="20"/>
        <v>2.0977558974358931E-2</v>
      </c>
      <c r="O158" s="4">
        <f t="shared" si="21"/>
        <v>-7.1302476659929788E-3</v>
      </c>
    </row>
    <row r="159" spans="1:15" x14ac:dyDescent="0.3">
      <c r="A159">
        <v>157</v>
      </c>
      <c r="B159">
        <v>3.1534</v>
      </c>
      <c r="C159">
        <v>3.1306630000000002</v>
      </c>
      <c r="D159">
        <v>28874.733074</v>
      </c>
      <c r="E159">
        <v>22284.950173000001</v>
      </c>
      <c r="F159">
        <v>2.048</v>
      </c>
      <c r="G159">
        <v>1.659125</v>
      </c>
      <c r="H159">
        <f t="shared" si="16"/>
        <v>30664.0625</v>
      </c>
      <c r="I159" s="4">
        <f t="shared" si="22"/>
        <v>-5.8352653892484084E-2</v>
      </c>
      <c r="J159" s="4">
        <f t="shared" si="23"/>
        <v>-0.2732551281161783</v>
      </c>
      <c r="K159" s="4">
        <f t="shared" si="17"/>
        <v>-0.22821969935139283</v>
      </c>
      <c r="L159">
        <f t="shared" si="18"/>
        <v>3.06640625</v>
      </c>
      <c r="M159" s="4">
        <f t="shared" si="19"/>
        <v>2.8369936305732479E-2</v>
      </c>
      <c r="N159" s="4">
        <f t="shared" si="20"/>
        <v>2.0955067515923631E-2</v>
      </c>
      <c r="O159" s="4">
        <f t="shared" si="21"/>
        <v>-7.2103126783788244E-3</v>
      </c>
    </row>
    <row r="160" spans="1:15" x14ac:dyDescent="0.3">
      <c r="A160">
        <v>158</v>
      </c>
      <c r="B160">
        <v>3.173184</v>
      </c>
      <c r="C160">
        <v>3.1506240000000001</v>
      </c>
      <c r="D160">
        <v>29068.706340000001</v>
      </c>
      <c r="E160">
        <v>22456.876640999999</v>
      </c>
      <c r="F160">
        <v>2.048</v>
      </c>
      <c r="G160">
        <v>1.6616880000000001</v>
      </c>
      <c r="H160">
        <f t="shared" si="16"/>
        <v>30859.375</v>
      </c>
      <c r="I160" s="4">
        <f t="shared" si="22"/>
        <v>-5.8026731260759475E-2</v>
      </c>
      <c r="J160" s="4">
        <f t="shared" si="23"/>
        <v>-0.27228349112708866</v>
      </c>
      <c r="K160" s="4">
        <f t="shared" si="17"/>
        <v>-0.22745524419508795</v>
      </c>
      <c r="L160">
        <f t="shared" si="18"/>
        <v>3.0859375</v>
      </c>
      <c r="M160" s="4">
        <f t="shared" si="19"/>
        <v>2.8272283544303799E-2</v>
      </c>
      <c r="N160" s="4">
        <f t="shared" si="20"/>
        <v>2.0961701265822814E-2</v>
      </c>
      <c r="O160" s="4">
        <f t="shared" si="21"/>
        <v>-7.1095782658679467E-3</v>
      </c>
    </row>
    <row r="161" spans="1:15" x14ac:dyDescent="0.3">
      <c r="A161">
        <v>159</v>
      </c>
      <c r="B161">
        <v>3.1930130000000001</v>
      </c>
      <c r="C161">
        <v>3.1703199999999998</v>
      </c>
      <c r="D161">
        <v>29227.339061999999</v>
      </c>
      <c r="E161">
        <v>22607.840988</v>
      </c>
      <c r="F161">
        <v>2.048</v>
      </c>
      <c r="G161">
        <v>1.6646879999999999</v>
      </c>
      <c r="H161">
        <f t="shared" si="16"/>
        <v>31054.6875</v>
      </c>
      <c r="I161" s="4">
        <f t="shared" si="22"/>
        <v>-5.884291825509437E-2</v>
      </c>
      <c r="J161" s="4">
        <f t="shared" si="23"/>
        <v>-0.27199908265056605</v>
      </c>
      <c r="K161" s="4">
        <f t="shared" si="17"/>
        <v>-0.22648309036816686</v>
      </c>
      <c r="L161">
        <f t="shared" si="18"/>
        <v>3.10546875</v>
      </c>
      <c r="M161" s="4">
        <f t="shared" si="19"/>
        <v>2.8190349685534622E-2</v>
      </c>
      <c r="N161" s="4">
        <f t="shared" si="20"/>
        <v>2.0882918238993648E-2</v>
      </c>
      <c r="O161" s="4">
        <f t="shared" si="21"/>
        <v>-7.1070803657862641E-3</v>
      </c>
    </row>
    <row r="162" spans="1:15" x14ac:dyDescent="0.3">
      <c r="A162">
        <v>160</v>
      </c>
      <c r="B162">
        <v>3.2128410000000001</v>
      </c>
      <c r="C162">
        <v>3.1913390000000001</v>
      </c>
      <c r="D162">
        <v>29403.905567000002</v>
      </c>
      <c r="E162">
        <v>22764.818349000001</v>
      </c>
      <c r="F162">
        <v>2.048</v>
      </c>
      <c r="G162">
        <v>1.6673750000000001</v>
      </c>
      <c r="H162">
        <f t="shared" si="16"/>
        <v>31250</v>
      </c>
      <c r="I162" s="4">
        <f t="shared" si="22"/>
        <v>-5.907502185599995E-2</v>
      </c>
      <c r="J162" s="4">
        <f t="shared" si="23"/>
        <v>-0.27152581283199995</v>
      </c>
      <c r="K162" s="4">
        <f t="shared" si="17"/>
        <v>-0.22578929873353445</v>
      </c>
      <c r="L162">
        <f t="shared" si="18"/>
        <v>3.125</v>
      </c>
      <c r="M162" s="4">
        <f t="shared" si="19"/>
        <v>2.8109120000000019E-2</v>
      </c>
      <c r="N162" s="4">
        <f t="shared" si="20"/>
        <v>2.1228480000000046E-2</v>
      </c>
      <c r="O162" s="4">
        <f t="shared" si="21"/>
        <v>-6.6925191753964509E-3</v>
      </c>
    </row>
    <row r="163" spans="1:15" x14ac:dyDescent="0.3">
      <c r="A163">
        <v>161</v>
      </c>
      <c r="B163">
        <v>3.232758</v>
      </c>
      <c r="C163">
        <v>3.210947</v>
      </c>
      <c r="D163">
        <v>29597.313545000001</v>
      </c>
      <c r="E163">
        <v>22910.438340000001</v>
      </c>
      <c r="F163">
        <v>2.048</v>
      </c>
      <c r="G163">
        <v>1.67</v>
      </c>
      <c r="H163">
        <f t="shared" si="16"/>
        <v>31445.3125</v>
      </c>
      <c r="I163" s="4">
        <f t="shared" si="22"/>
        <v>-5.8768662419875752E-2</v>
      </c>
      <c r="J163" s="4">
        <f t="shared" si="23"/>
        <v>-0.27141960061614906</v>
      </c>
      <c r="K163" s="4">
        <f t="shared" si="17"/>
        <v>-0.22592845106814238</v>
      </c>
      <c r="L163">
        <f t="shared" si="18"/>
        <v>3.14453125</v>
      </c>
      <c r="M163" s="4">
        <f t="shared" si="19"/>
        <v>2.8057202484472056E-2</v>
      </c>
      <c r="N163" s="4">
        <f t="shared" si="20"/>
        <v>2.1121033540372671E-2</v>
      </c>
      <c r="O163" s="4">
        <f t="shared" si="21"/>
        <v>-6.7468706287325013E-3</v>
      </c>
    </row>
    <row r="164" spans="1:15" x14ac:dyDescent="0.3">
      <c r="A164">
        <v>162</v>
      </c>
      <c r="B164">
        <v>3.252939</v>
      </c>
      <c r="C164">
        <v>3.231128</v>
      </c>
      <c r="D164">
        <v>29816.24006</v>
      </c>
      <c r="E164">
        <v>23070.241693</v>
      </c>
      <c r="F164">
        <v>2.048</v>
      </c>
      <c r="G164">
        <v>1.672812</v>
      </c>
      <c r="H164">
        <f t="shared" si="16"/>
        <v>31640.625</v>
      </c>
      <c r="I164" s="4">
        <f t="shared" si="22"/>
        <v>-5.7659573412345677E-2</v>
      </c>
      <c r="J164" s="4">
        <f t="shared" si="23"/>
        <v>-0.27086643538172839</v>
      </c>
      <c r="K164" s="4">
        <f t="shared" si="17"/>
        <v>-0.22625248366074499</v>
      </c>
      <c r="L164">
        <f t="shared" si="18"/>
        <v>3.1640625</v>
      </c>
      <c r="M164" s="4">
        <f t="shared" si="19"/>
        <v>2.8089362962962969E-2</v>
      </c>
      <c r="N164" s="4">
        <f t="shared" si="20"/>
        <v>2.1196009876543211E-2</v>
      </c>
      <c r="O164" s="4">
        <f t="shared" si="21"/>
        <v>-6.7050135277667445E-3</v>
      </c>
    </row>
    <row r="165" spans="1:15" x14ac:dyDescent="0.3">
      <c r="A165">
        <v>163</v>
      </c>
      <c r="B165">
        <v>3.2727240000000002</v>
      </c>
      <c r="C165">
        <v>3.2507359999999998</v>
      </c>
      <c r="D165">
        <v>29962.513387999999</v>
      </c>
      <c r="E165">
        <v>23235.187341000001</v>
      </c>
      <c r="F165">
        <v>2.048</v>
      </c>
      <c r="G165">
        <v>1.675438</v>
      </c>
      <c r="H165">
        <f t="shared" si="16"/>
        <v>31835.9375</v>
      </c>
      <c r="I165" s="4">
        <f t="shared" si="22"/>
        <v>-5.8846205235828238E-2</v>
      </c>
      <c r="J165" s="4">
        <f t="shared" si="23"/>
        <v>-0.27015853260171779</v>
      </c>
      <c r="K165" s="4">
        <f t="shared" si="17"/>
        <v>-0.22452475731539584</v>
      </c>
      <c r="L165">
        <f t="shared" si="18"/>
        <v>3.18359375</v>
      </c>
      <c r="M165" s="4">
        <f t="shared" si="19"/>
        <v>2.7996741104294537E-2</v>
      </c>
      <c r="N165" s="4">
        <f t="shared" si="20"/>
        <v>2.1090080981595045E-2</v>
      </c>
      <c r="O165" s="4">
        <f t="shared" si="21"/>
        <v>-6.7185622741179332E-3</v>
      </c>
    </row>
    <row r="166" spans="1:15" x14ac:dyDescent="0.3">
      <c r="A166">
        <v>164</v>
      </c>
      <c r="B166">
        <v>3.2927729999999999</v>
      </c>
      <c r="C166">
        <v>3.2706089999999999</v>
      </c>
      <c r="D166">
        <v>30172.794163999999</v>
      </c>
      <c r="E166">
        <v>23404.879182000001</v>
      </c>
      <c r="F166">
        <v>2.048</v>
      </c>
      <c r="G166">
        <v>1.678188</v>
      </c>
      <c r="H166">
        <f t="shared" si="16"/>
        <v>32031.25</v>
      </c>
      <c r="I166" s="4">
        <f t="shared" si="22"/>
        <v>-5.8020084636097591E-2</v>
      </c>
      <c r="J166" s="4">
        <f t="shared" si="23"/>
        <v>-0.26931108895219508</v>
      </c>
      <c r="K166" s="4">
        <f t="shared" si="17"/>
        <v>-0.22430521168221756</v>
      </c>
      <c r="L166">
        <f t="shared" si="18"/>
        <v>3.203125</v>
      </c>
      <c r="M166" s="4">
        <f t="shared" si="19"/>
        <v>2.7987668292682913E-2</v>
      </c>
      <c r="N166" s="4">
        <f t="shared" si="20"/>
        <v>2.106817560975606E-2</v>
      </c>
      <c r="O166" s="4">
        <f t="shared" si="21"/>
        <v>-6.7311047557788144E-3</v>
      </c>
    </row>
    <row r="167" spans="1:15" x14ac:dyDescent="0.3">
      <c r="A167">
        <v>165</v>
      </c>
      <c r="B167">
        <v>3.3126449999999998</v>
      </c>
      <c r="C167">
        <v>3.2905250000000001</v>
      </c>
      <c r="D167">
        <v>30368.943243000002</v>
      </c>
      <c r="E167">
        <v>23571.093053000001</v>
      </c>
      <c r="F167">
        <v>2.048</v>
      </c>
      <c r="G167">
        <v>1.680938</v>
      </c>
      <c r="H167">
        <f t="shared" si="16"/>
        <v>32226.5625</v>
      </c>
      <c r="I167" s="4">
        <f t="shared" si="22"/>
        <v>-5.7642488459636314E-2</v>
      </c>
      <c r="J167" s="4">
        <f t="shared" si="23"/>
        <v>-0.26858183980993938</v>
      </c>
      <c r="K167" s="4">
        <f t="shared" si="17"/>
        <v>-0.22384217111561483</v>
      </c>
      <c r="L167">
        <f t="shared" si="18"/>
        <v>3.22265625</v>
      </c>
      <c r="M167" s="4">
        <f t="shared" si="19"/>
        <v>2.7923781818181767E-2</v>
      </c>
      <c r="N167" s="4">
        <f t="shared" si="20"/>
        <v>2.1059878787878832E-2</v>
      </c>
      <c r="O167" s="4">
        <f t="shared" si="21"/>
        <v>-6.6774435534141738E-3</v>
      </c>
    </row>
    <row r="168" spans="1:15" x14ac:dyDescent="0.3">
      <c r="A168">
        <v>166</v>
      </c>
      <c r="B168">
        <v>3.332694</v>
      </c>
      <c r="C168">
        <v>3.3103980000000002</v>
      </c>
      <c r="D168">
        <v>30560.775029</v>
      </c>
      <c r="E168">
        <v>23733.934793</v>
      </c>
      <c r="F168">
        <v>2.048</v>
      </c>
      <c r="G168">
        <v>1.6836880000000001</v>
      </c>
      <c r="H168">
        <f t="shared" si="16"/>
        <v>32421.875</v>
      </c>
      <c r="I168" s="4">
        <f t="shared" si="22"/>
        <v>-5.7402601515180715E-2</v>
      </c>
      <c r="J168" s="4">
        <f t="shared" si="23"/>
        <v>-0.26796538469783132</v>
      </c>
      <c r="K168" s="4">
        <f t="shared" si="17"/>
        <v>-0.22338570371732439</v>
      </c>
      <c r="L168">
        <f t="shared" si="18"/>
        <v>3.2421875</v>
      </c>
      <c r="M168" s="4">
        <f t="shared" si="19"/>
        <v>2.7915257831325316E-2</v>
      </c>
      <c r="N168" s="4">
        <f t="shared" si="20"/>
        <v>2.1038419277108488E-2</v>
      </c>
      <c r="O168" s="4">
        <f t="shared" si="21"/>
        <v>-6.6900831579496563E-3</v>
      </c>
    </row>
    <row r="169" spans="1:15" x14ac:dyDescent="0.3">
      <c r="A169">
        <v>167</v>
      </c>
      <c r="B169">
        <v>3.3526549999999999</v>
      </c>
      <c r="C169">
        <v>3.3303590000000001</v>
      </c>
      <c r="D169">
        <v>30774.905447000001</v>
      </c>
      <c r="E169">
        <v>23885.980072999999</v>
      </c>
      <c r="F169">
        <v>2.048</v>
      </c>
      <c r="G169">
        <v>1.686188</v>
      </c>
      <c r="H169">
        <f t="shared" si="16"/>
        <v>32617.1875</v>
      </c>
      <c r="I169" s="4">
        <f t="shared" si="22"/>
        <v>-5.6481940786586797E-2</v>
      </c>
      <c r="J169" s="4">
        <f t="shared" si="23"/>
        <v>-0.26768731752239522</v>
      </c>
      <c r="K169" s="4">
        <f t="shared" si="17"/>
        <v>-0.22384879088788714</v>
      </c>
      <c r="L169">
        <f t="shared" si="18"/>
        <v>3.26171875</v>
      </c>
      <c r="M169" s="4">
        <f t="shared" si="19"/>
        <v>2.787985628742513E-2</v>
      </c>
      <c r="N169" s="4">
        <f t="shared" si="20"/>
        <v>2.1044196407185651E-2</v>
      </c>
      <c r="O169" s="4">
        <f t="shared" si="21"/>
        <v>-6.6502518153522721E-3</v>
      </c>
    </row>
    <row r="170" spans="1:15" x14ac:dyDescent="0.3">
      <c r="A170">
        <v>168</v>
      </c>
      <c r="B170">
        <v>3.3738489999999999</v>
      </c>
      <c r="C170">
        <v>3.3504079999999998</v>
      </c>
      <c r="D170">
        <v>30966.571274000002</v>
      </c>
      <c r="E170">
        <v>24057.274204000001</v>
      </c>
      <c r="F170">
        <v>2.048</v>
      </c>
      <c r="G170">
        <v>1.6888749999999999</v>
      </c>
      <c r="H170">
        <f t="shared" si="16"/>
        <v>32812.5</v>
      </c>
      <c r="I170" s="4">
        <f t="shared" si="22"/>
        <v>-5.6256875459047569E-2</v>
      </c>
      <c r="J170" s="4">
        <f t="shared" si="23"/>
        <v>-0.26682592902095237</v>
      </c>
      <c r="K170" s="4">
        <f t="shared" si="17"/>
        <v>-0.22312115244741837</v>
      </c>
      <c r="L170">
        <f t="shared" si="18"/>
        <v>3.28125</v>
      </c>
      <c r="M170" s="4">
        <f t="shared" si="19"/>
        <v>2.8220647619047582E-2</v>
      </c>
      <c r="N170" s="4">
        <f t="shared" si="20"/>
        <v>2.1076723809523759E-2</v>
      </c>
      <c r="O170" s="4">
        <f t="shared" si="21"/>
        <v>-6.9478509559852989E-3</v>
      </c>
    </row>
    <row r="171" spans="1:15" x14ac:dyDescent="0.3">
      <c r="A171">
        <v>169</v>
      </c>
      <c r="B171">
        <v>3.3941180000000002</v>
      </c>
      <c r="C171">
        <v>3.3702359999999998</v>
      </c>
      <c r="D171">
        <v>31179.201211</v>
      </c>
      <c r="E171">
        <v>24224.879762</v>
      </c>
      <c r="F171">
        <v>2.048</v>
      </c>
      <c r="G171">
        <v>1.6913119999999999</v>
      </c>
      <c r="H171">
        <f t="shared" si="16"/>
        <v>33007.8125</v>
      </c>
      <c r="I171" s="4">
        <f t="shared" si="22"/>
        <v>-5.5399347927100606E-2</v>
      </c>
      <c r="J171" s="4">
        <f t="shared" si="23"/>
        <v>-0.26608648295005916</v>
      </c>
      <c r="K171" s="4">
        <f t="shared" si="17"/>
        <v>-0.22304360531681997</v>
      </c>
      <c r="L171">
        <f t="shared" si="18"/>
        <v>3.30078125</v>
      </c>
      <c r="M171" s="4">
        <f t="shared" si="19"/>
        <v>2.8277169230769287E-2</v>
      </c>
      <c r="N171" s="4">
        <f t="shared" si="20"/>
        <v>2.1041912426035439E-2</v>
      </c>
      <c r="O171" s="4">
        <f t="shared" si="21"/>
        <v>-7.0362904295019797E-3</v>
      </c>
    </row>
    <row r="172" spans="1:15" x14ac:dyDescent="0.3">
      <c r="A172">
        <v>170</v>
      </c>
      <c r="B172">
        <v>3.414167</v>
      </c>
      <c r="C172">
        <v>3.3900649999999999</v>
      </c>
      <c r="D172">
        <v>31328.998639000001</v>
      </c>
      <c r="E172">
        <v>24381.855370000001</v>
      </c>
      <c r="F172">
        <v>2.048</v>
      </c>
      <c r="G172">
        <v>1.6937500000000001</v>
      </c>
      <c r="H172">
        <f t="shared" si="16"/>
        <v>33203.125</v>
      </c>
      <c r="I172" s="4">
        <f t="shared" si="22"/>
        <v>-5.6444276284235255E-2</v>
      </c>
      <c r="J172" s="4">
        <f t="shared" si="23"/>
        <v>-0.26567588532705877</v>
      </c>
      <c r="K172" s="4">
        <f t="shared" si="17"/>
        <v>-0.22174801528293431</v>
      </c>
      <c r="L172">
        <f t="shared" si="18"/>
        <v>3.3203125</v>
      </c>
      <c r="M172" s="4">
        <f t="shared" si="19"/>
        <v>2.8266767058823514E-2</v>
      </c>
      <c r="N172" s="4">
        <f t="shared" si="20"/>
        <v>2.1007811764705848E-2</v>
      </c>
      <c r="O172" s="4">
        <f t="shared" si="21"/>
        <v>-7.0594086346684468E-3</v>
      </c>
    </row>
    <row r="173" spans="1:15" x14ac:dyDescent="0.3">
      <c r="A173">
        <v>171</v>
      </c>
      <c r="B173">
        <v>3.433996</v>
      </c>
      <c r="C173">
        <v>3.4099370000000002</v>
      </c>
      <c r="D173">
        <v>31524.57821</v>
      </c>
      <c r="E173">
        <v>24549.491681</v>
      </c>
      <c r="F173">
        <v>2.048</v>
      </c>
      <c r="G173">
        <v>1.696375</v>
      </c>
      <c r="H173">
        <f t="shared" si="16"/>
        <v>33398.4375</v>
      </c>
      <c r="I173" s="4">
        <f t="shared" si="22"/>
        <v>-5.6106196285380126E-2</v>
      </c>
      <c r="J173" s="4">
        <f t="shared" si="23"/>
        <v>-0.26495089235836261</v>
      </c>
      <c r="K173" s="4">
        <f t="shared" si="17"/>
        <v>-0.22125867894363813</v>
      </c>
      <c r="L173">
        <f t="shared" si="18"/>
        <v>3.33984375</v>
      </c>
      <c r="M173" s="4">
        <f t="shared" si="19"/>
        <v>2.8190615204678377E-2</v>
      </c>
      <c r="N173" s="4">
        <f t="shared" si="20"/>
        <v>2.0986984795321701E-2</v>
      </c>
      <c r="O173" s="4">
        <f t="shared" si="21"/>
        <v>-7.0061234783033617E-3</v>
      </c>
    </row>
    <row r="174" spans="1:15" x14ac:dyDescent="0.3">
      <c r="A174">
        <v>172</v>
      </c>
      <c r="B174">
        <v>3.4538679999999999</v>
      </c>
      <c r="C174">
        <v>3.4297219999999999</v>
      </c>
      <c r="D174">
        <v>31691.939427000001</v>
      </c>
      <c r="E174">
        <v>24699.951392999999</v>
      </c>
      <c r="F174">
        <v>2.048</v>
      </c>
      <c r="G174">
        <v>1.6988129999999999</v>
      </c>
      <c r="H174">
        <f t="shared" si="16"/>
        <v>33593.75</v>
      </c>
      <c r="I174" s="4">
        <f t="shared" si="22"/>
        <v>-5.6612035661395312E-2</v>
      </c>
      <c r="J174" s="4">
        <f t="shared" si="23"/>
        <v>-0.26474563295255815</v>
      </c>
      <c r="K174" s="4">
        <f t="shared" si="17"/>
        <v>-0.22062354530575576</v>
      </c>
      <c r="L174">
        <f t="shared" si="18"/>
        <v>3.359375</v>
      </c>
      <c r="M174" s="4">
        <f t="shared" si="19"/>
        <v>2.8128148837209283E-2</v>
      </c>
      <c r="N174" s="4">
        <f t="shared" si="20"/>
        <v>2.0940502325581378E-2</v>
      </c>
      <c r="O174" s="4">
        <f t="shared" si="21"/>
        <v>-6.9910025513424375E-3</v>
      </c>
    </row>
    <row r="175" spans="1:15" x14ac:dyDescent="0.3">
      <c r="A175">
        <v>173</v>
      </c>
      <c r="B175">
        <v>3.4738289999999998</v>
      </c>
      <c r="C175">
        <v>3.4497710000000001</v>
      </c>
      <c r="D175">
        <v>31925.142574000001</v>
      </c>
      <c r="E175">
        <v>24854.072</v>
      </c>
      <c r="F175">
        <v>2.048</v>
      </c>
      <c r="G175">
        <v>1.7011879999999999</v>
      </c>
      <c r="H175">
        <f t="shared" si="16"/>
        <v>33789.0625</v>
      </c>
      <c r="I175" s="4">
        <f t="shared" si="22"/>
        <v>-5.5163410526705162E-2</v>
      </c>
      <c r="J175" s="4">
        <f t="shared" si="23"/>
        <v>-0.26443440092485548</v>
      </c>
      <c r="K175" s="4">
        <f t="shared" si="17"/>
        <v>-0.22148908364652745</v>
      </c>
      <c r="L175">
        <f t="shared" si="18"/>
        <v>3.37890625</v>
      </c>
      <c r="M175" s="4">
        <f t="shared" si="19"/>
        <v>2.809274450867047E-2</v>
      </c>
      <c r="N175" s="4">
        <f t="shared" si="20"/>
        <v>2.0972689017341083E-2</v>
      </c>
      <c r="O175" s="4">
        <f t="shared" si="21"/>
        <v>-6.925499211388843E-3</v>
      </c>
    </row>
    <row r="176" spans="1:15" x14ac:dyDescent="0.3">
      <c r="A176">
        <v>174</v>
      </c>
      <c r="B176">
        <v>3.4936579999999999</v>
      </c>
      <c r="C176">
        <v>3.4695550000000002</v>
      </c>
      <c r="D176">
        <v>32099.409019999999</v>
      </c>
      <c r="E176">
        <v>25018.024079999999</v>
      </c>
      <c r="F176">
        <v>2.048</v>
      </c>
      <c r="G176">
        <v>1.7036249999999999</v>
      </c>
      <c r="H176">
        <f t="shared" si="16"/>
        <v>33984.375</v>
      </c>
      <c r="I176" s="4">
        <f t="shared" si="22"/>
        <v>-5.5465665618390829E-2</v>
      </c>
      <c r="J176" s="4">
        <f t="shared" si="23"/>
        <v>-0.26383745235862072</v>
      </c>
      <c r="K176" s="4">
        <f t="shared" si="17"/>
        <v>-0.22060795373484418</v>
      </c>
      <c r="L176">
        <f t="shared" si="18"/>
        <v>3.3984375</v>
      </c>
      <c r="M176" s="4">
        <f t="shared" si="19"/>
        <v>2.8018905747126416E-2</v>
      </c>
      <c r="N176" s="4">
        <f t="shared" si="20"/>
        <v>2.0926528735632232E-2</v>
      </c>
      <c r="O176" s="4">
        <f t="shared" si="21"/>
        <v>-6.8990725480283883E-3</v>
      </c>
    </row>
    <row r="177" spans="1:15" x14ac:dyDescent="0.3">
      <c r="A177">
        <v>175</v>
      </c>
      <c r="B177">
        <v>3.513795</v>
      </c>
      <c r="C177">
        <v>3.4895160000000001</v>
      </c>
      <c r="D177">
        <v>32284.540719000001</v>
      </c>
      <c r="E177">
        <v>25191.052510000001</v>
      </c>
      <c r="F177">
        <v>2.048</v>
      </c>
      <c r="G177">
        <v>1.7061249999999999</v>
      </c>
      <c r="H177">
        <f t="shared" si="16"/>
        <v>34179.6875</v>
      </c>
      <c r="I177" s="4">
        <f t="shared" si="22"/>
        <v>-5.5446580106971413E-2</v>
      </c>
      <c r="J177" s="4">
        <f t="shared" si="23"/>
        <v>-0.26298177799314282</v>
      </c>
      <c r="K177" s="4">
        <f t="shared" si="17"/>
        <v>-0.21971779839585454</v>
      </c>
      <c r="L177">
        <f t="shared" si="18"/>
        <v>3.41796875</v>
      </c>
      <c r="M177" s="4">
        <f t="shared" si="19"/>
        <v>2.8036022857142857E-2</v>
      </c>
      <c r="N177" s="4">
        <f t="shared" si="20"/>
        <v>2.0932681142857162E-2</v>
      </c>
      <c r="O177" s="4">
        <f t="shared" si="21"/>
        <v>-6.909623355944197E-3</v>
      </c>
    </row>
    <row r="178" spans="1:15" x14ac:dyDescent="0.3">
      <c r="A178">
        <v>176</v>
      </c>
      <c r="B178">
        <v>3.5351659999999998</v>
      </c>
      <c r="C178">
        <v>3.5103140000000002</v>
      </c>
      <c r="D178">
        <v>32451.047298000001</v>
      </c>
      <c r="E178">
        <v>25378.560752000001</v>
      </c>
      <c r="F178">
        <v>2.048</v>
      </c>
      <c r="G178">
        <v>1.7086250000000001</v>
      </c>
      <c r="H178">
        <f t="shared" si="16"/>
        <v>34375</v>
      </c>
      <c r="I178" s="4">
        <f t="shared" si="22"/>
        <v>-5.5969533149090873E-2</v>
      </c>
      <c r="J178" s="4">
        <f t="shared" si="23"/>
        <v>-0.26171459630545452</v>
      </c>
      <c r="K178" s="4">
        <f t="shared" si="17"/>
        <v>-0.21794324482205191</v>
      </c>
      <c r="L178">
        <f t="shared" si="18"/>
        <v>3.4375</v>
      </c>
      <c r="M178" s="4">
        <f t="shared" si="19"/>
        <v>2.8411927272727216E-2</v>
      </c>
      <c r="N178" s="4">
        <f t="shared" si="20"/>
        <v>2.1182254545454592E-2</v>
      </c>
      <c r="O178" s="4">
        <f t="shared" si="21"/>
        <v>-7.0299386224012264E-3</v>
      </c>
    </row>
    <row r="179" spans="1:15" x14ac:dyDescent="0.3">
      <c r="A179">
        <v>177</v>
      </c>
      <c r="B179">
        <v>3.555126</v>
      </c>
      <c r="C179">
        <v>3.53023</v>
      </c>
      <c r="D179">
        <v>32662.933145999999</v>
      </c>
      <c r="E179">
        <v>25537.170842</v>
      </c>
      <c r="F179">
        <v>2.048</v>
      </c>
      <c r="G179">
        <v>1.7110620000000001</v>
      </c>
      <c r="H179">
        <f t="shared" si="16"/>
        <v>34570.3125</v>
      </c>
      <c r="I179" s="4">
        <f t="shared" si="22"/>
        <v>-5.5173911256949169E-2</v>
      </c>
      <c r="J179" s="4">
        <f t="shared" si="23"/>
        <v>-0.26129765699977403</v>
      </c>
      <c r="K179" s="4">
        <f t="shared" si="17"/>
        <v>-0.21816051461601949</v>
      </c>
      <c r="L179">
        <f t="shared" si="18"/>
        <v>3.45703125</v>
      </c>
      <c r="M179" s="4">
        <f t="shared" si="19"/>
        <v>2.8375430508474579E-2</v>
      </c>
      <c r="N179" s="4">
        <f t="shared" si="20"/>
        <v>2.1173875706214682E-2</v>
      </c>
      <c r="O179" s="4">
        <f t="shared" si="21"/>
        <v>-7.002846031336169E-3</v>
      </c>
    </row>
    <row r="180" spans="1:15" x14ac:dyDescent="0.3">
      <c r="A180">
        <v>178</v>
      </c>
      <c r="B180">
        <v>3.575043</v>
      </c>
      <c r="C180">
        <v>3.5502349999999998</v>
      </c>
      <c r="D180">
        <v>32835.086781999998</v>
      </c>
      <c r="E180">
        <v>25698.185758</v>
      </c>
      <c r="F180">
        <v>2.048</v>
      </c>
      <c r="G180">
        <v>1.713625</v>
      </c>
      <c r="H180">
        <f t="shared" si="16"/>
        <v>34765.625</v>
      </c>
      <c r="I180" s="4">
        <f t="shared" si="22"/>
        <v>-5.5530088068314651E-2</v>
      </c>
      <c r="J180" s="4">
        <f t="shared" si="23"/>
        <v>-0.26081622988224717</v>
      </c>
      <c r="K180" s="4">
        <f t="shared" si="17"/>
        <v>-0.21735593608701551</v>
      </c>
      <c r="L180">
        <f t="shared" si="18"/>
        <v>3.4765625</v>
      </c>
      <c r="M180" s="4">
        <f t="shared" si="19"/>
        <v>2.8326975280898867E-2</v>
      </c>
      <c r="N180" s="4">
        <f t="shared" si="20"/>
        <v>2.1191191011235899E-2</v>
      </c>
      <c r="O180" s="4">
        <f t="shared" si="21"/>
        <v>-6.9392172345899518E-3</v>
      </c>
    </row>
    <row r="181" spans="1:15" x14ac:dyDescent="0.3">
      <c r="A181">
        <v>179</v>
      </c>
      <c r="B181">
        <v>3.5950039999999999</v>
      </c>
      <c r="C181">
        <v>3.5701520000000002</v>
      </c>
      <c r="D181">
        <v>33095.963718999999</v>
      </c>
      <c r="E181">
        <v>25872.828361</v>
      </c>
      <c r="F181">
        <v>2.048</v>
      </c>
      <c r="G181">
        <v>1.716</v>
      </c>
      <c r="H181">
        <f t="shared" si="16"/>
        <v>34960.9375</v>
      </c>
      <c r="I181" s="4">
        <f t="shared" si="22"/>
        <v>-5.3344501445363145E-2</v>
      </c>
      <c r="J181" s="4">
        <f t="shared" si="23"/>
        <v>-0.25995038431106143</v>
      </c>
      <c r="K181" s="4">
        <f t="shared" si="17"/>
        <v>-0.21824822565457683</v>
      </c>
      <c r="L181">
        <f t="shared" si="18"/>
        <v>3.49609375</v>
      </c>
      <c r="M181" s="4">
        <f t="shared" si="19"/>
        <v>2.8291646927374264E-2</v>
      </c>
      <c r="N181" s="4">
        <f t="shared" si="20"/>
        <v>2.1183141899441402E-2</v>
      </c>
      <c r="O181" s="4">
        <f t="shared" si="21"/>
        <v>-6.9129269397195815E-3</v>
      </c>
    </row>
    <row r="182" spans="1:15" x14ac:dyDescent="0.3">
      <c r="A182">
        <v>180</v>
      </c>
      <c r="B182">
        <v>3.6150530000000001</v>
      </c>
      <c r="C182">
        <v>3.590157</v>
      </c>
      <c r="D182">
        <v>33232.703591999998</v>
      </c>
      <c r="E182">
        <v>26037.535695999999</v>
      </c>
      <c r="F182">
        <v>2.048</v>
      </c>
      <c r="G182">
        <v>1.7184379999999999</v>
      </c>
      <c r="H182">
        <f t="shared" si="16"/>
        <v>35156.25</v>
      </c>
      <c r="I182" s="4">
        <f t="shared" si="22"/>
        <v>-5.4714208938666721E-2</v>
      </c>
      <c r="J182" s="4">
        <f t="shared" si="23"/>
        <v>-0.25937676242488894</v>
      </c>
      <c r="K182" s="4">
        <f t="shared" si="17"/>
        <v>-0.21650865317295667</v>
      </c>
      <c r="L182">
        <f t="shared" si="18"/>
        <v>3.515625</v>
      </c>
      <c r="M182" s="4">
        <f t="shared" si="19"/>
        <v>2.8281742222222243E-2</v>
      </c>
      <c r="N182" s="4">
        <f t="shared" si="20"/>
        <v>2.1200213333333346E-2</v>
      </c>
      <c r="O182" s="4">
        <f t="shared" si="21"/>
        <v>-6.8867593365851149E-3</v>
      </c>
    </row>
    <row r="183" spans="1:15" x14ac:dyDescent="0.3">
      <c r="A183">
        <v>181</v>
      </c>
      <c r="B183">
        <v>3.6348370000000001</v>
      </c>
      <c r="C183">
        <v>3.6098970000000001</v>
      </c>
      <c r="D183">
        <v>33480.016333</v>
      </c>
      <c r="E183">
        <v>26198.344154999999</v>
      </c>
      <c r="F183">
        <v>2.048</v>
      </c>
      <c r="G183">
        <v>1.72075</v>
      </c>
      <c r="H183">
        <f t="shared" si="16"/>
        <v>35351.5625</v>
      </c>
      <c r="I183" s="4">
        <f t="shared" si="22"/>
        <v>-5.2940974447734816E-2</v>
      </c>
      <c r="J183" s="4">
        <f t="shared" si="23"/>
        <v>-0.25891976754917129</v>
      </c>
      <c r="K183" s="4">
        <f t="shared" si="17"/>
        <v>-0.21749308917817728</v>
      </c>
      <c r="L183">
        <f t="shared" si="18"/>
        <v>3.53515625</v>
      </c>
      <c r="M183" s="4">
        <f t="shared" si="19"/>
        <v>2.8196985635359145E-2</v>
      </c>
      <c r="N183" s="4">
        <f t="shared" si="20"/>
        <v>2.114213480662987E-2</v>
      </c>
      <c r="O183" s="4">
        <f t="shared" si="21"/>
        <v>-6.8613805791016107E-3</v>
      </c>
    </row>
    <row r="184" spans="1:15" x14ac:dyDescent="0.3">
      <c r="A184">
        <v>182</v>
      </c>
      <c r="B184">
        <v>3.6548419999999999</v>
      </c>
      <c r="C184">
        <v>3.629902</v>
      </c>
      <c r="D184">
        <v>33634.180936999997</v>
      </c>
      <c r="E184">
        <v>26355.390556999999</v>
      </c>
      <c r="F184">
        <v>2.048</v>
      </c>
      <c r="G184">
        <v>1.7229380000000001</v>
      </c>
      <c r="H184">
        <f t="shared" si="16"/>
        <v>35546.875</v>
      </c>
      <c r="I184" s="4">
        <f t="shared" si="22"/>
        <v>-5.380765715692315E-2</v>
      </c>
      <c r="J184" s="4">
        <f t="shared" si="23"/>
        <v>-0.25857362828659342</v>
      </c>
      <c r="K184" s="4">
        <f t="shared" si="17"/>
        <v>-0.21641051386486448</v>
      </c>
      <c r="L184">
        <f t="shared" si="18"/>
        <v>3.5546875</v>
      </c>
      <c r="M184" s="4">
        <f t="shared" si="19"/>
        <v>2.8175331868131846E-2</v>
      </c>
      <c r="N184" s="4">
        <f t="shared" si="20"/>
        <v>2.1159243956043947E-2</v>
      </c>
      <c r="O184" s="4">
        <f t="shared" si="21"/>
        <v>-6.8238243951448414E-3</v>
      </c>
    </row>
    <row r="185" spans="1:15" x14ac:dyDescent="0.3">
      <c r="A185">
        <v>183</v>
      </c>
      <c r="B185">
        <v>3.6748910000000001</v>
      </c>
      <c r="C185">
        <v>3.6498189999999999</v>
      </c>
      <c r="D185">
        <v>33856.348391</v>
      </c>
      <c r="E185">
        <v>26534.898386000001</v>
      </c>
      <c r="F185">
        <v>2.048</v>
      </c>
      <c r="G185">
        <v>1.72525</v>
      </c>
      <c r="H185">
        <f t="shared" si="16"/>
        <v>35742.1875</v>
      </c>
      <c r="I185" s="4">
        <f t="shared" si="22"/>
        <v>-5.2762274525027332E-2</v>
      </c>
      <c r="J185" s="4">
        <f t="shared" si="23"/>
        <v>-0.25760284297092895</v>
      </c>
      <c r="K185" s="4">
        <f t="shared" si="17"/>
        <v>-0.21625043316680462</v>
      </c>
      <c r="L185">
        <f t="shared" si="18"/>
        <v>3.57421875</v>
      </c>
      <c r="M185" s="4">
        <f t="shared" si="19"/>
        <v>2.8166225136612058E-2</v>
      </c>
      <c r="N185" s="4">
        <f t="shared" si="20"/>
        <v>2.1151545355191235E-2</v>
      </c>
      <c r="O185" s="4">
        <f t="shared" si="21"/>
        <v>-6.822515280045096E-3</v>
      </c>
    </row>
    <row r="186" spans="1:15" x14ac:dyDescent="0.3">
      <c r="A186">
        <v>184</v>
      </c>
      <c r="B186">
        <v>3.6963059999999999</v>
      </c>
      <c r="C186">
        <v>3.67022</v>
      </c>
      <c r="D186">
        <v>33996.768428000003</v>
      </c>
      <c r="E186">
        <v>26719.746333999999</v>
      </c>
      <c r="F186">
        <v>2.048</v>
      </c>
      <c r="G186">
        <v>1.7276879999999999</v>
      </c>
      <c r="H186">
        <f t="shared" si="16"/>
        <v>35937.5</v>
      </c>
      <c r="I186" s="4">
        <f t="shared" si="22"/>
        <v>-5.4002965481739044E-2</v>
      </c>
      <c r="J186" s="4">
        <f t="shared" si="23"/>
        <v>-0.25649401505391306</v>
      </c>
      <c r="K186" s="4">
        <f t="shared" si="17"/>
        <v>-0.21405040627351485</v>
      </c>
      <c r="L186">
        <f t="shared" si="18"/>
        <v>3.59375</v>
      </c>
      <c r="M186" s="4">
        <f t="shared" si="19"/>
        <v>2.85373217391304E-2</v>
      </c>
      <c r="N186" s="4">
        <f t="shared" si="20"/>
        <v>2.1278608695652186E-2</v>
      </c>
      <c r="O186" s="4">
        <f t="shared" si="21"/>
        <v>-7.0573161421158938E-3</v>
      </c>
    </row>
    <row r="187" spans="1:15" x14ac:dyDescent="0.3">
      <c r="A187">
        <v>185</v>
      </c>
      <c r="B187">
        <v>3.7162660000000001</v>
      </c>
      <c r="C187">
        <v>3.6900930000000001</v>
      </c>
      <c r="D187">
        <v>34207.793020999998</v>
      </c>
      <c r="E187">
        <v>26889.59419</v>
      </c>
      <c r="F187">
        <v>2.048</v>
      </c>
      <c r="G187">
        <v>1.7302500000000001</v>
      </c>
      <c r="H187">
        <f t="shared" si="16"/>
        <v>36132.8125</v>
      </c>
      <c r="I187" s="4">
        <f t="shared" si="22"/>
        <v>-5.3276214770162228E-2</v>
      </c>
      <c r="J187" s="4">
        <f t="shared" si="23"/>
        <v>-0.25581231214702704</v>
      </c>
      <c r="K187" s="4">
        <f t="shared" si="17"/>
        <v>-0.21393367372479691</v>
      </c>
      <c r="L187">
        <f t="shared" si="18"/>
        <v>3.61328125</v>
      </c>
      <c r="M187" s="4">
        <f t="shared" si="19"/>
        <v>2.8501725405405423E-2</v>
      </c>
      <c r="N187" s="4">
        <f t="shared" si="20"/>
        <v>2.1258170810810828E-2</v>
      </c>
      <c r="O187" s="4">
        <f t="shared" si="21"/>
        <v>-7.0428220154316193E-3</v>
      </c>
    </row>
    <row r="188" spans="1:15" x14ac:dyDescent="0.3">
      <c r="A188">
        <v>186</v>
      </c>
      <c r="B188">
        <v>3.7360509999999998</v>
      </c>
      <c r="C188">
        <v>3.7100529999999998</v>
      </c>
      <c r="D188">
        <v>34412.462484999996</v>
      </c>
      <c r="E188">
        <v>27059.829751000001</v>
      </c>
      <c r="F188">
        <v>2.048</v>
      </c>
      <c r="G188">
        <v>1.7321880000000001</v>
      </c>
      <c r="H188">
        <f t="shared" si="16"/>
        <v>36328.125</v>
      </c>
      <c r="I188" s="4">
        <f t="shared" si="22"/>
        <v>-5.2732215466666767E-2</v>
      </c>
      <c r="J188" s="4">
        <f t="shared" si="23"/>
        <v>-0.25512726706924727</v>
      </c>
      <c r="K188" s="4">
        <f t="shared" si="17"/>
        <v>-0.21366191789398753</v>
      </c>
      <c r="L188">
        <f t="shared" si="18"/>
        <v>3.6328125</v>
      </c>
      <c r="M188" s="4">
        <f t="shared" si="19"/>
        <v>2.8418339784946178E-2</v>
      </c>
      <c r="N188" s="4">
        <f t="shared" si="20"/>
        <v>2.126190107526877E-2</v>
      </c>
      <c r="O188" s="4">
        <f t="shared" si="21"/>
        <v>-6.9586844505066889E-3</v>
      </c>
    </row>
    <row r="189" spans="1:15" x14ac:dyDescent="0.3">
      <c r="A189">
        <v>187</v>
      </c>
      <c r="B189">
        <v>3.7562319999999998</v>
      </c>
      <c r="C189">
        <v>3.730102</v>
      </c>
      <c r="D189">
        <v>34584.567201999998</v>
      </c>
      <c r="E189">
        <v>27230.245266000002</v>
      </c>
      <c r="F189">
        <v>2.048</v>
      </c>
      <c r="G189">
        <v>1.7345619999999999</v>
      </c>
      <c r="H189">
        <f t="shared" si="16"/>
        <v>36523.4375</v>
      </c>
      <c r="I189" s="4">
        <f t="shared" si="22"/>
        <v>-5.3085646661818225E-2</v>
      </c>
      <c r="J189" s="4">
        <f t="shared" si="23"/>
        <v>-0.25444462159401066</v>
      </c>
      <c r="K189" s="4">
        <f t="shared" si="17"/>
        <v>-0.21264750525993867</v>
      </c>
      <c r="L189">
        <f t="shared" si="18"/>
        <v>3.65234375</v>
      </c>
      <c r="M189" s="4">
        <f t="shared" si="19"/>
        <v>2.8444269518716522E-2</v>
      </c>
      <c r="N189" s="4">
        <f t="shared" si="20"/>
        <v>2.1289959358288778E-2</v>
      </c>
      <c r="O189" s="4">
        <f t="shared" si="21"/>
        <v>-6.9564393253664222E-3</v>
      </c>
    </row>
    <row r="190" spans="1:15" x14ac:dyDescent="0.3">
      <c r="A190">
        <v>188</v>
      </c>
      <c r="B190">
        <v>3.7761040000000001</v>
      </c>
      <c r="C190">
        <v>3.750019</v>
      </c>
      <c r="D190">
        <v>34762.645314000001</v>
      </c>
      <c r="E190">
        <v>27396.099812</v>
      </c>
      <c r="F190">
        <v>2.048</v>
      </c>
      <c r="G190">
        <v>1.7365619999999999</v>
      </c>
      <c r="H190">
        <f t="shared" si="16"/>
        <v>36718.75</v>
      </c>
      <c r="I190" s="4">
        <f t="shared" si="22"/>
        <v>-5.3272638257021242E-2</v>
      </c>
      <c r="J190" s="4">
        <f t="shared" si="23"/>
        <v>-0.25389345192851065</v>
      </c>
      <c r="K190" s="4">
        <f t="shared" si="17"/>
        <v>-0.21190980822835317</v>
      </c>
      <c r="L190">
        <f t="shared" si="18"/>
        <v>3.671875</v>
      </c>
      <c r="M190" s="4">
        <f t="shared" si="19"/>
        <v>2.8385770212765993E-2</v>
      </c>
      <c r="N190" s="4">
        <f t="shared" si="20"/>
        <v>2.1281770212765956E-2</v>
      </c>
      <c r="O190" s="4">
        <f t="shared" si="21"/>
        <v>-6.907913553228443E-3</v>
      </c>
    </row>
    <row r="191" spans="1:15" x14ac:dyDescent="0.3">
      <c r="A191">
        <v>189</v>
      </c>
      <c r="B191">
        <v>3.7962410000000002</v>
      </c>
      <c r="C191">
        <v>3.7697590000000001</v>
      </c>
      <c r="D191">
        <v>34956.078737999997</v>
      </c>
      <c r="E191">
        <v>27561.998618000001</v>
      </c>
      <c r="F191">
        <v>2.048</v>
      </c>
      <c r="G191">
        <v>1.7386870000000001</v>
      </c>
      <c r="H191">
        <f t="shared" si="16"/>
        <v>36914.0625</v>
      </c>
      <c r="I191" s="4">
        <f t="shared" si="22"/>
        <v>-5.304167651555565E-2</v>
      </c>
      <c r="J191" s="4">
        <f t="shared" si="23"/>
        <v>-0.25334691574518514</v>
      </c>
      <c r="K191" s="4">
        <f t="shared" si="17"/>
        <v>-0.21152487312491519</v>
      </c>
      <c r="L191">
        <f t="shared" si="18"/>
        <v>3.69140625</v>
      </c>
      <c r="M191" s="4">
        <f t="shared" si="19"/>
        <v>2.8399678306878361E-2</v>
      </c>
      <c r="N191" s="4">
        <f t="shared" si="20"/>
        <v>2.1225718518518542E-2</v>
      </c>
      <c r="O191" s="4">
        <f t="shared" si="21"/>
        <v>-6.9758479506438383E-3</v>
      </c>
    </row>
    <row r="192" spans="1:15" x14ac:dyDescent="0.3">
      <c r="A192">
        <v>190</v>
      </c>
      <c r="B192">
        <v>3.8161580000000002</v>
      </c>
      <c r="C192">
        <v>3.78972</v>
      </c>
      <c r="D192">
        <v>35148.723610000001</v>
      </c>
      <c r="E192">
        <v>27736.358090999998</v>
      </c>
      <c r="F192">
        <v>2.048</v>
      </c>
      <c r="G192">
        <v>1.74075</v>
      </c>
      <c r="H192">
        <f t="shared" si="16"/>
        <v>37109.375</v>
      </c>
      <c r="I192" s="4">
        <f t="shared" si="22"/>
        <v>-5.2834395351578925E-2</v>
      </c>
      <c r="J192" s="4">
        <f t="shared" si="23"/>
        <v>-0.25257813986357902</v>
      </c>
      <c r="K192" s="4">
        <f t="shared" si="17"/>
        <v>-0.21088576647179144</v>
      </c>
      <c r="L192">
        <f t="shared" si="18"/>
        <v>3.7109375</v>
      </c>
      <c r="M192" s="4">
        <f t="shared" si="19"/>
        <v>2.8354155789473728E-2</v>
      </c>
      <c r="N192" s="4">
        <f t="shared" si="20"/>
        <v>2.1229810526315784E-2</v>
      </c>
      <c r="O192" s="4">
        <f t="shared" si="21"/>
        <v>-6.927910217553933E-3</v>
      </c>
    </row>
    <row r="193" spans="1:15" x14ac:dyDescent="0.3">
      <c r="A193">
        <v>191</v>
      </c>
      <c r="B193">
        <v>3.8361190000000001</v>
      </c>
      <c r="C193">
        <v>3.8097249999999998</v>
      </c>
      <c r="D193">
        <v>35321.490487000003</v>
      </c>
      <c r="E193">
        <v>27897.393843999998</v>
      </c>
      <c r="F193">
        <v>2.048</v>
      </c>
      <c r="G193">
        <v>1.7430000000000001</v>
      </c>
      <c r="H193">
        <f t="shared" si="16"/>
        <v>37304.6875</v>
      </c>
      <c r="I193" s="4">
        <f t="shared" si="22"/>
        <v>-5.3162139824921392E-2</v>
      </c>
      <c r="J193" s="4">
        <f t="shared" si="23"/>
        <v>-0.25217457339643984</v>
      </c>
      <c r="K193" s="4">
        <f t="shared" si="17"/>
        <v>-0.21018639192851804</v>
      </c>
      <c r="L193">
        <f t="shared" si="18"/>
        <v>3.73046875</v>
      </c>
      <c r="M193" s="4">
        <f t="shared" si="19"/>
        <v>2.8320904712041899E-2</v>
      </c>
      <c r="N193" s="4">
        <f t="shared" si="20"/>
        <v>2.1245654450261726E-2</v>
      </c>
      <c r="O193" s="4">
        <f t="shared" si="21"/>
        <v>-6.8803913538657818E-3</v>
      </c>
    </row>
    <row r="194" spans="1:15" x14ac:dyDescent="0.3">
      <c r="A194">
        <v>192</v>
      </c>
      <c r="B194">
        <v>3.8575339999999998</v>
      </c>
      <c r="C194">
        <v>3.828716</v>
      </c>
      <c r="D194">
        <v>35521.766094999999</v>
      </c>
      <c r="E194">
        <v>28045.980551000001</v>
      </c>
      <c r="F194">
        <v>2.048</v>
      </c>
      <c r="G194">
        <v>1.7455000000000001</v>
      </c>
      <c r="H194">
        <f t="shared" si="16"/>
        <v>37500</v>
      </c>
      <c r="I194" s="4">
        <f t="shared" si="22"/>
        <v>-5.2752904133333361E-2</v>
      </c>
      <c r="J194" s="4">
        <f t="shared" si="23"/>
        <v>-0.25210718530666665</v>
      </c>
      <c r="K194" s="4">
        <f t="shared" si="17"/>
        <v>-0.21045647122405553</v>
      </c>
      <c r="L194">
        <f t="shared" si="18"/>
        <v>3.75</v>
      </c>
      <c r="M194" s="4">
        <f t="shared" si="19"/>
        <v>2.867573333333328E-2</v>
      </c>
      <c r="N194" s="4">
        <f t="shared" si="20"/>
        <v>2.0990933333333336E-2</v>
      </c>
      <c r="O194" s="4">
        <f t="shared" si="21"/>
        <v>-7.470575761613453E-3</v>
      </c>
    </row>
    <row r="195" spans="1:15" x14ac:dyDescent="0.3">
      <c r="A195">
        <v>193</v>
      </c>
      <c r="B195">
        <v>3.877494</v>
      </c>
      <c r="C195">
        <v>3.8485010000000002</v>
      </c>
      <c r="D195">
        <v>35715.714576999999</v>
      </c>
      <c r="E195">
        <v>28214.641993000001</v>
      </c>
      <c r="F195">
        <v>2.048</v>
      </c>
      <c r="G195">
        <v>1.747563</v>
      </c>
      <c r="H195">
        <f t="shared" ref="H195:H258" si="24">(50000 / 256) *A195</f>
        <v>37695.3125</v>
      </c>
      <c r="I195" s="4">
        <f t="shared" si="22"/>
        <v>-5.2515758371813499E-2</v>
      </c>
      <c r="J195" s="4">
        <f t="shared" si="23"/>
        <v>-0.25150794298362689</v>
      </c>
      <c r="K195" s="4">
        <f t="shared" ref="K195:K258" si="25">(E195-D195)/D195</f>
        <v>-0.21002162977387256</v>
      </c>
      <c r="L195">
        <f t="shared" ref="L195:L258" si="26">(A195/256) * 5</f>
        <v>3.76953125</v>
      </c>
      <c r="M195" s="4">
        <f t="shared" ref="M195:M258" si="27">(B195-L195)/L195</f>
        <v>2.8640895336787563E-2</v>
      </c>
      <c r="N195" s="4">
        <f t="shared" ref="N195:N258" si="28">(C195-L195)/L195</f>
        <v>2.0949488082901601E-2</v>
      </c>
      <c r="O195" s="4">
        <f t="shared" ref="O195:O258" si="29">(C195-B195)/B195</f>
        <v>-7.477252060222356E-3</v>
      </c>
    </row>
    <row r="196" spans="1:15" x14ac:dyDescent="0.3">
      <c r="A196">
        <v>194</v>
      </c>
      <c r="B196">
        <v>3.8975430000000002</v>
      </c>
      <c r="C196">
        <v>3.8685939999999999</v>
      </c>
      <c r="D196">
        <v>35925.103245999999</v>
      </c>
      <c r="E196">
        <v>28386.143762</v>
      </c>
      <c r="F196">
        <v>2.048</v>
      </c>
      <c r="G196">
        <v>1.7496879999999999</v>
      </c>
      <c r="H196">
        <f t="shared" si="24"/>
        <v>37890.625</v>
      </c>
      <c r="I196" s="4">
        <f t="shared" ref="I196:I258" si="30">(D196-$H196)/$H196</f>
        <v>-5.1873563816907248E-2</v>
      </c>
      <c r="J196" s="4">
        <f t="shared" ref="J196:J258" si="31">(E196-$H196)/$H196</f>
        <v>-0.25083991720907217</v>
      </c>
      <c r="K196" s="4">
        <f t="shared" si="25"/>
        <v>-0.20985213131821431</v>
      </c>
      <c r="L196">
        <f t="shared" si="26"/>
        <v>3.7890625</v>
      </c>
      <c r="M196" s="4">
        <f t="shared" si="27"/>
        <v>2.8629905154639229E-2</v>
      </c>
      <c r="N196" s="4">
        <f t="shared" si="28"/>
        <v>2.0989756701030891E-2</v>
      </c>
      <c r="O196" s="4">
        <f t="shared" si="29"/>
        <v>-7.4274998377183614E-3</v>
      </c>
    </row>
    <row r="197" spans="1:15" x14ac:dyDescent="0.3">
      <c r="A197">
        <v>195</v>
      </c>
      <c r="B197">
        <v>3.9174600000000002</v>
      </c>
      <c r="C197">
        <v>3.8885540000000001</v>
      </c>
      <c r="D197">
        <v>36119.069556000002</v>
      </c>
      <c r="E197">
        <v>28556.291108000001</v>
      </c>
      <c r="F197">
        <v>2.048</v>
      </c>
      <c r="G197">
        <v>1.751625</v>
      </c>
      <c r="H197">
        <f t="shared" si="24"/>
        <v>38085.9375</v>
      </c>
      <c r="I197" s="4">
        <f t="shared" si="30"/>
        <v>-5.1642891657846093E-2</v>
      </c>
      <c r="J197" s="4">
        <f t="shared" si="31"/>
        <v>-0.25021430526687177</v>
      </c>
      <c r="K197" s="4">
        <f t="shared" si="25"/>
        <v>-0.20938464199013931</v>
      </c>
      <c r="L197">
        <f t="shared" si="26"/>
        <v>3.80859375</v>
      </c>
      <c r="M197" s="4">
        <f t="shared" si="27"/>
        <v>2.8584369230769274E-2</v>
      </c>
      <c r="N197" s="4">
        <f t="shared" si="28"/>
        <v>2.0994691282051298E-2</v>
      </c>
      <c r="O197" s="4">
        <f t="shared" si="29"/>
        <v>-7.3787607276143462E-3</v>
      </c>
    </row>
    <row r="198" spans="1:15" x14ac:dyDescent="0.3">
      <c r="A198">
        <v>196</v>
      </c>
      <c r="B198">
        <v>3.9373330000000002</v>
      </c>
      <c r="C198">
        <v>3.908515</v>
      </c>
      <c r="D198">
        <v>36286.688390000003</v>
      </c>
      <c r="E198">
        <v>28724.975492000001</v>
      </c>
      <c r="F198">
        <v>2.048</v>
      </c>
      <c r="G198">
        <v>1.7536879999999999</v>
      </c>
      <c r="H198">
        <f t="shared" si="24"/>
        <v>38281.25</v>
      </c>
      <c r="I198" s="4">
        <f t="shared" si="30"/>
        <v>-5.2102833893877473E-2</v>
      </c>
      <c r="J198" s="4">
        <f t="shared" si="31"/>
        <v>-0.24963329327020403</v>
      </c>
      <c r="K198" s="4">
        <f t="shared" si="25"/>
        <v>-0.20838806828357148</v>
      </c>
      <c r="L198">
        <f t="shared" si="26"/>
        <v>3.828125</v>
      </c>
      <c r="M198" s="4">
        <f t="shared" si="27"/>
        <v>2.8527804081632704E-2</v>
      </c>
      <c r="N198" s="4">
        <f t="shared" si="28"/>
        <v>2.0999836734693869E-2</v>
      </c>
      <c r="O198" s="4">
        <f t="shared" si="29"/>
        <v>-7.3191675685039164E-3</v>
      </c>
    </row>
    <row r="199" spans="1:15" x14ac:dyDescent="0.3">
      <c r="A199">
        <v>197</v>
      </c>
      <c r="B199">
        <v>3.9575580000000001</v>
      </c>
      <c r="C199">
        <v>3.928388</v>
      </c>
      <c r="D199">
        <v>36469.112958999998</v>
      </c>
      <c r="E199">
        <v>28895.597809999999</v>
      </c>
      <c r="F199">
        <v>2.048</v>
      </c>
      <c r="G199">
        <v>1.7556879999999999</v>
      </c>
      <c r="H199">
        <f t="shared" si="24"/>
        <v>38476.5625</v>
      </c>
      <c r="I199" s="4">
        <f t="shared" si="30"/>
        <v>-5.217330786761426E-2</v>
      </c>
      <c r="J199" s="4">
        <f t="shared" si="31"/>
        <v>-0.24900781326294419</v>
      </c>
      <c r="K199" s="4">
        <f t="shared" si="25"/>
        <v>-0.20766929970340767</v>
      </c>
      <c r="L199">
        <f t="shared" si="26"/>
        <v>3.84765625</v>
      </c>
      <c r="M199" s="4">
        <f t="shared" si="27"/>
        <v>2.8563297461928969E-2</v>
      </c>
      <c r="N199" s="4">
        <f t="shared" si="28"/>
        <v>2.0982058883248729E-2</v>
      </c>
      <c r="O199" s="4">
        <f t="shared" si="29"/>
        <v>-7.3707068854076529E-3</v>
      </c>
    </row>
    <row r="200" spans="1:15" x14ac:dyDescent="0.3">
      <c r="A200">
        <v>198</v>
      </c>
      <c r="B200">
        <v>3.9775619999999998</v>
      </c>
      <c r="C200">
        <v>3.948172</v>
      </c>
      <c r="D200">
        <v>36668.493423</v>
      </c>
      <c r="E200">
        <v>29067.739988000001</v>
      </c>
      <c r="F200">
        <v>2.048</v>
      </c>
      <c r="G200">
        <v>1.7576879999999999</v>
      </c>
      <c r="H200">
        <f t="shared" si="24"/>
        <v>38671.875</v>
      </c>
      <c r="I200" s="4">
        <f t="shared" si="30"/>
        <v>-5.1804614516363638E-2</v>
      </c>
      <c r="J200" s="4">
        <f t="shared" si="31"/>
        <v>-0.2483493498052525</v>
      </c>
      <c r="K200" s="4">
        <f t="shared" si="25"/>
        <v>-0.20728294853348109</v>
      </c>
      <c r="L200">
        <f t="shared" si="26"/>
        <v>3.8671875</v>
      </c>
      <c r="M200" s="4">
        <f t="shared" si="27"/>
        <v>2.8541284848484803E-2</v>
      </c>
      <c r="N200" s="4">
        <f t="shared" si="28"/>
        <v>2.094144646464647E-2</v>
      </c>
      <c r="O200" s="4">
        <f t="shared" si="29"/>
        <v>-7.3889483055197651E-3</v>
      </c>
    </row>
    <row r="201" spans="1:15" x14ac:dyDescent="0.3">
      <c r="A201">
        <v>199</v>
      </c>
      <c r="B201">
        <v>3.997744</v>
      </c>
      <c r="C201">
        <v>3.9682210000000002</v>
      </c>
      <c r="D201">
        <v>36868.249003999998</v>
      </c>
      <c r="E201">
        <v>29244.280341999998</v>
      </c>
      <c r="F201">
        <v>2.048</v>
      </c>
      <c r="G201">
        <v>1.7596879999999999</v>
      </c>
      <c r="H201">
        <f t="shared" si="24"/>
        <v>38867.1875</v>
      </c>
      <c r="I201" s="4">
        <f t="shared" si="30"/>
        <v>-5.1429975374472428E-2</v>
      </c>
      <c r="J201" s="4">
        <f t="shared" si="31"/>
        <v>-0.24758434496964829</v>
      </c>
      <c r="K201" s="4">
        <f t="shared" si="25"/>
        <v>-0.20678955111681169</v>
      </c>
      <c r="L201">
        <f t="shared" si="26"/>
        <v>3.88671875</v>
      </c>
      <c r="M201" s="4">
        <f t="shared" si="27"/>
        <v>2.8565290452261298E-2</v>
      </c>
      <c r="N201" s="4">
        <f t="shared" si="28"/>
        <v>2.0969423115577947E-2</v>
      </c>
      <c r="O201" s="4">
        <f t="shared" si="29"/>
        <v>-7.3849150921118873E-3</v>
      </c>
    </row>
    <row r="202" spans="1:15" x14ac:dyDescent="0.3">
      <c r="A202">
        <v>200</v>
      </c>
      <c r="B202">
        <v>4.018497</v>
      </c>
      <c r="C202">
        <v>3.9888870000000001</v>
      </c>
      <c r="D202">
        <v>37029.316192999999</v>
      </c>
      <c r="E202">
        <v>29418.180489999999</v>
      </c>
      <c r="F202">
        <v>2.048</v>
      </c>
      <c r="G202">
        <v>1.7618119999999999</v>
      </c>
      <c r="H202">
        <f t="shared" si="24"/>
        <v>39062.5</v>
      </c>
      <c r="I202" s="4">
        <f t="shared" si="30"/>
        <v>-5.2049505459200035E-2</v>
      </c>
      <c r="J202" s="4">
        <f t="shared" si="31"/>
        <v>-0.24689457945600002</v>
      </c>
      <c r="K202" s="4">
        <f t="shared" si="25"/>
        <v>-0.20554351215480465</v>
      </c>
      <c r="L202">
        <f t="shared" si="26"/>
        <v>3.90625</v>
      </c>
      <c r="M202" s="4">
        <f t="shared" si="27"/>
        <v>2.8735231999999996E-2</v>
      </c>
      <c r="N202" s="4">
        <f t="shared" si="28"/>
        <v>2.1155072000000018E-2</v>
      </c>
      <c r="O202" s="4">
        <f t="shared" si="29"/>
        <v>-7.3684265535099106E-3</v>
      </c>
    </row>
    <row r="203" spans="1:15" x14ac:dyDescent="0.3">
      <c r="A203">
        <v>201</v>
      </c>
      <c r="B203">
        <v>4.0384140000000004</v>
      </c>
      <c r="C203">
        <v>4.0088920000000003</v>
      </c>
      <c r="D203">
        <v>37223.246341999999</v>
      </c>
      <c r="E203">
        <v>29580.220162000001</v>
      </c>
      <c r="F203">
        <v>2.048</v>
      </c>
      <c r="G203">
        <v>1.7636879999999999</v>
      </c>
      <c r="H203">
        <f t="shared" si="24"/>
        <v>39257.8125</v>
      </c>
      <c r="I203" s="4">
        <f t="shared" si="30"/>
        <v>-5.1825764820696556E-2</v>
      </c>
      <c r="J203" s="4">
        <f t="shared" si="31"/>
        <v>-0.24651379487840791</v>
      </c>
      <c r="K203" s="4">
        <f t="shared" si="25"/>
        <v>-0.20532938233751427</v>
      </c>
      <c r="L203">
        <f t="shared" si="26"/>
        <v>3.92578125</v>
      </c>
      <c r="M203" s="4">
        <f t="shared" si="27"/>
        <v>2.8690531343283681E-2</v>
      </c>
      <c r="N203" s="4">
        <f t="shared" si="28"/>
        <v>2.1170499502487651E-2</v>
      </c>
      <c r="O203" s="4">
        <f t="shared" si="29"/>
        <v>-7.3102955764317492E-3</v>
      </c>
    </row>
    <row r="204" spans="1:15" x14ac:dyDescent="0.3">
      <c r="A204">
        <v>202</v>
      </c>
      <c r="B204">
        <v>4.0585069999999996</v>
      </c>
      <c r="C204">
        <v>4.0288079999999997</v>
      </c>
      <c r="D204">
        <v>37416.875243000002</v>
      </c>
      <c r="E204">
        <v>29754.992174999999</v>
      </c>
      <c r="F204">
        <v>2.048</v>
      </c>
      <c r="G204">
        <v>1.765625</v>
      </c>
      <c r="H204">
        <f t="shared" si="24"/>
        <v>39453.125</v>
      </c>
      <c r="I204" s="4">
        <f t="shared" si="30"/>
        <v>-5.1611875028910834E-2</v>
      </c>
      <c r="J204" s="4">
        <f t="shared" si="31"/>
        <v>-0.24581405972277229</v>
      </c>
      <c r="K204" s="4">
        <f t="shared" si="25"/>
        <v>-0.20477078906885465</v>
      </c>
      <c r="L204">
        <f t="shared" si="26"/>
        <v>3.9453125</v>
      </c>
      <c r="M204" s="4">
        <f t="shared" si="27"/>
        <v>2.8690883168316739E-2</v>
      </c>
      <c r="N204" s="4">
        <f t="shared" si="28"/>
        <v>2.116321584158409E-2</v>
      </c>
      <c r="O204" s="4">
        <f t="shared" si="29"/>
        <v>-7.3177156032994206E-3</v>
      </c>
    </row>
    <row r="205" spans="1:15" x14ac:dyDescent="0.3">
      <c r="A205">
        <v>203</v>
      </c>
      <c r="B205">
        <v>4.078424</v>
      </c>
      <c r="C205">
        <v>4.0489889999999997</v>
      </c>
      <c r="D205">
        <v>37606.701652999996</v>
      </c>
      <c r="E205">
        <v>29929.503457999999</v>
      </c>
      <c r="F205">
        <v>2.048</v>
      </c>
      <c r="G205">
        <v>1.7673129999999999</v>
      </c>
      <c r="H205">
        <f t="shared" si="24"/>
        <v>39648.4375</v>
      </c>
      <c r="I205" s="4">
        <f t="shared" si="30"/>
        <v>-5.1495997717438513E-2</v>
      </c>
      <c r="J205" s="4">
        <f t="shared" si="31"/>
        <v>-0.2451277945568473</v>
      </c>
      <c r="K205" s="4">
        <f t="shared" si="25"/>
        <v>-0.20414441728599628</v>
      </c>
      <c r="L205">
        <f t="shared" si="26"/>
        <v>3.96484375</v>
      </c>
      <c r="M205" s="4">
        <f t="shared" si="27"/>
        <v>2.8646841379310357E-2</v>
      </c>
      <c r="N205" s="4">
        <f t="shared" si="28"/>
        <v>2.1222841379310277E-2</v>
      </c>
      <c r="O205" s="4">
        <f t="shared" si="29"/>
        <v>-7.2172486234879756E-3</v>
      </c>
    </row>
    <row r="206" spans="1:15" x14ac:dyDescent="0.3">
      <c r="A206">
        <v>204</v>
      </c>
      <c r="B206">
        <v>4.0982960000000004</v>
      </c>
      <c r="C206">
        <v>4.0687300000000004</v>
      </c>
      <c r="D206">
        <v>37810.989738999997</v>
      </c>
      <c r="E206">
        <v>30106.219233</v>
      </c>
      <c r="F206">
        <v>2.048</v>
      </c>
      <c r="G206">
        <v>1.7693749999999999</v>
      </c>
      <c r="H206">
        <f t="shared" si="24"/>
        <v>39843.75</v>
      </c>
      <c r="I206" s="4">
        <f t="shared" si="30"/>
        <v>-5.1018296746666747E-2</v>
      </c>
      <c r="J206" s="4">
        <f t="shared" si="31"/>
        <v>-0.24439292905411766</v>
      </c>
      <c r="K206" s="4">
        <f t="shared" si="25"/>
        <v>-0.20377066453917608</v>
      </c>
      <c r="L206">
        <f t="shared" si="26"/>
        <v>3.984375</v>
      </c>
      <c r="M206" s="4">
        <f t="shared" si="27"/>
        <v>2.8591937254902056E-2</v>
      </c>
      <c r="N206" s="4">
        <f t="shared" si="28"/>
        <v>2.1171450980392258E-2</v>
      </c>
      <c r="O206" s="4">
        <f t="shared" si="29"/>
        <v>-7.2142178115001893E-3</v>
      </c>
    </row>
    <row r="207" spans="1:15" x14ac:dyDescent="0.3">
      <c r="A207">
        <v>205</v>
      </c>
      <c r="B207">
        <v>4.1183009999999998</v>
      </c>
      <c r="C207">
        <v>4.0887349999999998</v>
      </c>
      <c r="D207">
        <v>37986.801157000002</v>
      </c>
      <c r="E207">
        <v>30276.607948000001</v>
      </c>
      <c r="F207">
        <v>2.048</v>
      </c>
      <c r="G207">
        <v>1.771188</v>
      </c>
      <c r="H207">
        <f t="shared" si="24"/>
        <v>40039.0625</v>
      </c>
      <c r="I207" s="4">
        <f t="shared" si="30"/>
        <v>-5.1256478420292642E-2</v>
      </c>
      <c r="J207" s="4">
        <f t="shared" si="31"/>
        <v>-0.24382325515239023</v>
      </c>
      <c r="K207" s="4">
        <f t="shared" si="25"/>
        <v>-0.20297032058934525</v>
      </c>
      <c r="L207">
        <f t="shared" si="26"/>
        <v>4.00390625</v>
      </c>
      <c r="M207" s="4">
        <f t="shared" si="27"/>
        <v>2.8570786341463355E-2</v>
      </c>
      <c r="N207" s="4">
        <f t="shared" si="28"/>
        <v>2.1186497560975556E-2</v>
      </c>
      <c r="O207" s="4">
        <f t="shared" si="29"/>
        <v>-7.179174130302759E-3</v>
      </c>
    </row>
    <row r="208" spans="1:15" x14ac:dyDescent="0.3">
      <c r="A208">
        <v>206</v>
      </c>
      <c r="B208">
        <v>4.138306</v>
      </c>
      <c r="C208">
        <v>4.1087829999999999</v>
      </c>
      <c r="D208">
        <v>38184.718476000002</v>
      </c>
      <c r="E208">
        <v>30451.246225999999</v>
      </c>
      <c r="F208">
        <v>2.048</v>
      </c>
      <c r="G208">
        <v>1.773188</v>
      </c>
      <c r="H208">
        <f t="shared" si="24"/>
        <v>40234.375</v>
      </c>
      <c r="I208" s="4">
        <f t="shared" si="30"/>
        <v>-5.0942919431456263E-2</v>
      </c>
      <c r="J208" s="4">
        <f t="shared" si="31"/>
        <v>-0.2431534918586408</v>
      </c>
      <c r="K208" s="4">
        <f t="shared" si="25"/>
        <v>-0.202527936793895</v>
      </c>
      <c r="L208">
        <f t="shared" si="26"/>
        <v>4.0234375</v>
      </c>
      <c r="M208" s="4">
        <f t="shared" si="27"/>
        <v>2.8549840776699038E-2</v>
      </c>
      <c r="N208" s="4">
        <f t="shared" si="28"/>
        <v>2.1212085436893166E-2</v>
      </c>
      <c r="O208" s="4">
        <f t="shared" si="29"/>
        <v>-7.1340785335835934E-3</v>
      </c>
    </row>
    <row r="209" spans="1:15" x14ac:dyDescent="0.3">
      <c r="A209">
        <v>207</v>
      </c>
      <c r="B209">
        <v>4.1585749999999999</v>
      </c>
      <c r="C209">
        <v>4.1287440000000002</v>
      </c>
      <c r="D209">
        <v>38369.406210000001</v>
      </c>
      <c r="E209">
        <v>30621.942950000001</v>
      </c>
      <c r="F209">
        <v>2.048</v>
      </c>
      <c r="G209">
        <v>1.7750619999999999</v>
      </c>
      <c r="H209">
        <f t="shared" si="24"/>
        <v>40429.6875</v>
      </c>
      <c r="I209" s="4">
        <f t="shared" si="30"/>
        <v>-5.0959614515942005E-2</v>
      </c>
      <c r="J209" s="4">
        <f t="shared" si="31"/>
        <v>-0.24258769128502414</v>
      </c>
      <c r="K209" s="4">
        <f t="shared" si="25"/>
        <v>-0.20191772626340052</v>
      </c>
      <c r="L209">
        <f t="shared" si="26"/>
        <v>4.04296875</v>
      </c>
      <c r="M209" s="4">
        <f t="shared" si="27"/>
        <v>2.8594396135265678E-2</v>
      </c>
      <c r="N209" s="4">
        <f t="shared" si="28"/>
        <v>2.1215907246376859E-2</v>
      </c>
      <c r="O209" s="4">
        <f t="shared" si="29"/>
        <v>-7.1733706858718958E-3</v>
      </c>
    </row>
    <row r="210" spans="1:15" x14ac:dyDescent="0.3">
      <c r="A210">
        <v>208</v>
      </c>
      <c r="B210">
        <v>4.1799900000000001</v>
      </c>
      <c r="C210">
        <v>4.149057</v>
      </c>
      <c r="D210">
        <v>38560.127782000003</v>
      </c>
      <c r="E210">
        <v>30788.776543</v>
      </c>
      <c r="F210">
        <v>2.048</v>
      </c>
      <c r="G210">
        <v>1.7770619999999999</v>
      </c>
      <c r="H210">
        <f t="shared" si="24"/>
        <v>40625</v>
      </c>
      <c r="I210" s="4">
        <f t="shared" si="30"/>
        <v>-5.082762382769223E-2</v>
      </c>
      <c r="J210" s="4">
        <f t="shared" si="31"/>
        <v>-0.24212242355692307</v>
      </c>
      <c r="K210" s="4">
        <f t="shared" si="25"/>
        <v>-0.20153852401463504</v>
      </c>
      <c r="L210">
        <f t="shared" si="26"/>
        <v>4.0625</v>
      </c>
      <c r="M210" s="4">
        <f t="shared" si="27"/>
        <v>2.8920615384615409E-2</v>
      </c>
      <c r="N210" s="4">
        <f t="shared" si="28"/>
        <v>2.1306338461538461E-2</v>
      </c>
      <c r="O210" s="4">
        <f t="shared" si="29"/>
        <v>-7.4002569384137521E-3</v>
      </c>
    </row>
    <row r="211" spans="1:15" x14ac:dyDescent="0.3">
      <c r="A211">
        <v>209</v>
      </c>
      <c r="B211">
        <v>4.2000830000000002</v>
      </c>
      <c r="C211">
        <v>4.1688419999999997</v>
      </c>
      <c r="D211">
        <v>38738.298439999999</v>
      </c>
      <c r="E211">
        <v>30958.679329999999</v>
      </c>
      <c r="F211">
        <v>2.048</v>
      </c>
      <c r="G211">
        <v>1.7789379999999999</v>
      </c>
      <c r="H211">
        <f t="shared" si="24"/>
        <v>40820.3125</v>
      </c>
      <c r="I211" s="4">
        <f t="shared" si="30"/>
        <v>-5.100436357511965E-2</v>
      </c>
      <c r="J211" s="4">
        <f t="shared" si="31"/>
        <v>-0.24158642024114835</v>
      </c>
      <c r="K211" s="4">
        <f t="shared" si="25"/>
        <v>-0.20082500840994605</v>
      </c>
      <c r="L211">
        <f t="shared" si="26"/>
        <v>4.08203125</v>
      </c>
      <c r="M211" s="4">
        <f t="shared" si="27"/>
        <v>2.8919854545454603E-2</v>
      </c>
      <c r="N211" s="4">
        <f t="shared" si="28"/>
        <v>2.1266556937798973E-2</v>
      </c>
      <c r="O211" s="4">
        <f t="shared" si="29"/>
        <v>-7.4381863406033921E-3</v>
      </c>
    </row>
    <row r="212" spans="1:15" x14ac:dyDescent="0.3">
      <c r="A212">
        <v>210</v>
      </c>
      <c r="B212">
        <v>4.2200879999999996</v>
      </c>
      <c r="C212">
        <v>4.1887590000000001</v>
      </c>
      <c r="D212">
        <v>38938.466613999997</v>
      </c>
      <c r="E212">
        <v>31133.143630999999</v>
      </c>
      <c r="F212">
        <v>2.048</v>
      </c>
      <c r="G212">
        <v>1.780875</v>
      </c>
      <c r="H212">
        <f t="shared" si="24"/>
        <v>41015.625</v>
      </c>
      <c r="I212" s="4">
        <f t="shared" si="30"/>
        <v>-5.0643099696761971E-2</v>
      </c>
      <c r="J212" s="4">
        <f t="shared" si="31"/>
        <v>-0.24094430766323813</v>
      </c>
      <c r="K212" s="4">
        <f t="shared" si="25"/>
        <v>-0.2004527569196487</v>
      </c>
      <c r="L212">
        <f t="shared" si="26"/>
        <v>4.1015625</v>
      </c>
      <c r="M212" s="4">
        <f t="shared" si="27"/>
        <v>2.889764571428562E-2</v>
      </c>
      <c r="N212" s="4">
        <f t="shared" si="28"/>
        <v>2.1259337142857174E-2</v>
      </c>
      <c r="O212" s="4">
        <f t="shared" si="29"/>
        <v>-7.4237788406306925E-3</v>
      </c>
    </row>
    <row r="213" spans="1:15" x14ac:dyDescent="0.3">
      <c r="A213">
        <v>211</v>
      </c>
      <c r="B213">
        <v>4.2402249999999997</v>
      </c>
      <c r="C213">
        <v>4.2086309999999996</v>
      </c>
      <c r="D213">
        <v>39129.982744000001</v>
      </c>
      <c r="E213">
        <v>31309.137148000002</v>
      </c>
      <c r="F213">
        <v>2.048</v>
      </c>
      <c r="G213">
        <v>1.782562</v>
      </c>
      <c r="H213">
        <f t="shared" si="24"/>
        <v>41210.9375</v>
      </c>
      <c r="I213" s="4">
        <f t="shared" si="30"/>
        <v>-5.0495205453649272E-2</v>
      </c>
      <c r="J213" s="4">
        <f t="shared" si="31"/>
        <v>-0.24027117441819901</v>
      </c>
      <c r="K213" s="4">
        <f t="shared" si="25"/>
        <v>-0.19986836301887226</v>
      </c>
      <c r="L213">
        <f t="shared" si="26"/>
        <v>4.12109375</v>
      </c>
      <c r="M213" s="4">
        <f t="shared" si="27"/>
        <v>2.8907677725118409E-2</v>
      </c>
      <c r="N213" s="4">
        <f t="shared" si="28"/>
        <v>2.1241266350710795E-2</v>
      </c>
      <c r="O213" s="4">
        <f t="shared" si="29"/>
        <v>-7.4510196982471742E-3</v>
      </c>
    </row>
    <row r="214" spans="1:15" x14ac:dyDescent="0.3">
      <c r="A214">
        <v>212</v>
      </c>
      <c r="B214">
        <v>4.260141</v>
      </c>
      <c r="C214">
        <v>4.2286359999999998</v>
      </c>
      <c r="D214">
        <v>39330.875279</v>
      </c>
      <c r="E214">
        <v>31482.015762999999</v>
      </c>
      <c r="F214">
        <v>2.048</v>
      </c>
      <c r="G214">
        <v>1.784375</v>
      </c>
      <c r="H214">
        <f t="shared" si="24"/>
        <v>41406.25</v>
      </c>
      <c r="I214" s="4">
        <f t="shared" si="30"/>
        <v>-5.012225741283019E-2</v>
      </c>
      <c r="J214" s="4">
        <f t="shared" si="31"/>
        <v>-0.23967961930867926</v>
      </c>
      <c r="K214" s="4">
        <f t="shared" si="25"/>
        <v>-0.19955974689916842</v>
      </c>
      <c r="L214">
        <f t="shared" si="26"/>
        <v>4.140625</v>
      </c>
      <c r="M214" s="4">
        <f t="shared" si="27"/>
        <v>2.8864241509433952E-2</v>
      </c>
      <c r="N214" s="4">
        <f t="shared" si="28"/>
        <v>2.1255486792452791E-2</v>
      </c>
      <c r="O214" s="4">
        <f t="shared" si="29"/>
        <v>-7.3952951322503449E-3</v>
      </c>
    </row>
    <row r="215" spans="1:15" x14ac:dyDescent="0.3">
      <c r="A215">
        <v>213</v>
      </c>
      <c r="B215">
        <v>4.2801460000000002</v>
      </c>
      <c r="C215">
        <v>4.248685</v>
      </c>
      <c r="D215">
        <v>39510.153380000003</v>
      </c>
      <c r="E215">
        <v>31659.439472999999</v>
      </c>
      <c r="F215">
        <v>2.048</v>
      </c>
      <c r="G215">
        <v>1.786125</v>
      </c>
      <c r="H215">
        <f t="shared" si="24"/>
        <v>41601.5625</v>
      </c>
      <c r="I215" s="4">
        <f t="shared" si="30"/>
        <v>-5.0272369457276915E-2</v>
      </c>
      <c r="J215" s="4">
        <f t="shared" si="31"/>
        <v>-0.23898436571943665</v>
      </c>
      <c r="K215" s="4">
        <f t="shared" si="25"/>
        <v>-0.19870117515094304</v>
      </c>
      <c r="L215">
        <f t="shared" si="26"/>
        <v>4.16015625</v>
      </c>
      <c r="M215" s="4">
        <f t="shared" si="27"/>
        <v>2.8842606572770008E-2</v>
      </c>
      <c r="N215" s="4">
        <f t="shared" si="28"/>
        <v>2.1280150234741793E-2</v>
      </c>
      <c r="O215" s="4">
        <f t="shared" si="29"/>
        <v>-7.3504501949232994E-3</v>
      </c>
    </row>
    <row r="216" spans="1:15" x14ac:dyDescent="0.3">
      <c r="A216">
        <v>214</v>
      </c>
      <c r="B216">
        <v>4.3002830000000003</v>
      </c>
      <c r="C216">
        <v>4.2685570000000004</v>
      </c>
      <c r="D216">
        <v>39699.989177000003</v>
      </c>
      <c r="E216">
        <v>31831.142311</v>
      </c>
      <c r="F216">
        <v>2.048</v>
      </c>
      <c r="G216">
        <v>1.787812</v>
      </c>
      <c r="H216">
        <f t="shared" si="24"/>
        <v>41796.875</v>
      </c>
      <c r="I216" s="4">
        <f t="shared" si="30"/>
        <v>-5.0168483241869087E-2</v>
      </c>
      <c r="J216" s="4">
        <f t="shared" si="31"/>
        <v>-0.23843248302654207</v>
      </c>
      <c r="K216" s="4">
        <f t="shared" si="25"/>
        <v>-0.19820778365750241</v>
      </c>
      <c r="L216">
        <f t="shared" si="26"/>
        <v>4.1796875</v>
      </c>
      <c r="M216" s="4">
        <f t="shared" si="27"/>
        <v>2.8852755140186988E-2</v>
      </c>
      <c r="N216" s="4">
        <f t="shared" si="28"/>
        <v>2.1262235514018783E-2</v>
      </c>
      <c r="O216" s="4">
        <f t="shared" si="29"/>
        <v>-7.3776539823076567E-3</v>
      </c>
    </row>
    <row r="217" spans="1:15" x14ac:dyDescent="0.3">
      <c r="A217">
        <v>215</v>
      </c>
      <c r="B217">
        <v>4.3203760000000004</v>
      </c>
      <c r="C217">
        <v>4.2885619999999998</v>
      </c>
      <c r="D217">
        <v>39885.135838000002</v>
      </c>
      <c r="E217">
        <v>32011.486766999999</v>
      </c>
      <c r="F217">
        <v>2.048</v>
      </c>
      <c r="G217">
        <v>1.78975</v>
      </c>
      <c r="H217">
        <f t="shared" si="24"/>
        <v>41992.1875</v>
      </c>
      <c r="I217" s="4">
        <f t="shared" si="30"/>
        <v>-5.0177230276465069E-2</v>
      </c>
      <c r="J217" s="4">
        <f t="shared" si="31"/>
        <v>-0.23767994303702328</v>
      </c>
      <c r="K217" s="4">
        <f t="shared" si="25"/>
        <v>-0.19740810468792475</v>
      </c>
      <c r="L217">
        <f t="shared" si="26"/>
        <v>4.19921875</v>
      </c>
      <c r="M217" s="4">
        <f t="shared" si="27"/>
        <v>2.8852331162790804E-2</v>
      </c>
      <c r="N217" s="4">
        <f t="shared" si="28"/>
        <v>2.1276159999999943E-2</v>
      </c>
      <c r="O217" s="4">
        <f t="shared" si="29"/>
        <v>-7.3637109362705176E-3</v>
      </c>
    </row>
    <row r="218" spans="1:15" x14ac:dyDescent="0.3">
      <c r="A218">
        <v>216</v>
      </c>
      <c r="B218">
        <v>4.3412179999999996</v>
      </c>
      <c r="C218">
        <v>4.3097570000000003</v>
      </c>
      <c r="D218">
        <v>40072.913521000002</v>
      </c>
      <c r="E218">
        <v>32185.355592</v>
      </c>
      <c r="F218">
        <v>2.048</v>
      </c>
      <c r="G218">
        <v>1.791625</v>
      </c>
      <c r="H218">
        <f t="shared" si="24"/>
        <v>42187.5</v>
      </c>
      <c r="I218" s="4">
        <f t="shared" si="30"/>
        <v>-5.0123531354074019E-2</v>
      </c>
      <c r="J218" s="4">
        <f t="shared" si="31"/>
        <v>-0.23708786744888888</v>
      </c>
      <c r="K218" s="4">
        <f t="shared" si="25"/>
        <v>-0.1968301587272053</v>
      </c>
      <c r="L218">
        <f t="shared" si="26"/>
        <v>4.21875</v>
      </c>
      <c r="M218" s="4">
        <f t="shared" si="27"/>
        <v>2.902945185185175E-2</v>
      </c>
      <c r="N218" s="4">
        <f t="shared" si="28"/>
        <v>2.1572029629629695E-2</v>
      </c>
      <c r="O218" s="4">
        <f t="shared" si="29"/>
        <v>-7.2470444930430346E-3</v>
      </c>
    </row>
    <row r="219" spans="1:15" x14ac:dyDescent="0.3">
      <c r="A219">
        <v>217</v>
      </c>
      <c r="B219">
        <v>4.3610910000000001</v>
      </c>
      <c r="C219">
        <v>4.3298059999999996</v>
      </c>
      <c r="D219">
        <v>40276.157112000001</v>
      </c>
      <c r="E219">
        <v>32361.094122999999</v>
      </c>
      <c r="F219">
        <v>2.048</v>
      </c>
      <c r="G219">
        <v>1.7933749999999999</v>
      </c>
      <c r="H219">
        <f t="shared" si="24"/>
        <v>42382.8125</v>
      </c>
      <c r="I219" s="4">
        <f t="shared" si="30"/>
        <v>-4.9705417449585232E-2</v>
      </c>
      <c r="J219" s="4">
        <f t="shared" si="31"/>
        <v>-0.23645713405640556</v>
      </c>
      <c r="K219" s="4">
        <f t="shared" si="25"/>
        <v>-0.1965198161033532</v>
      </c>
      <c r="L219">
        <f t="shared" si="26"/>
        <v>4.23828125</v>
      </c>
      <c r="M219" s="4">
        <f t="shared" si="27"/>
        <v>2.8976309677419366E-2</v>
      </c>
      <c r="N219" s="4">
        <f t="shared" si="28"/>
        <v>2.1594779723502211E-2</v>
      </c>
      <c r="O219" s="4">
        <f t="shared" si="29"/>
        <v>-7.1736636543471462E-3</v>
      </c>
    </row>
    <row r="220" spans="1:15" x14ac:dyDescent="0.3">
      <c r="A220">
        <v>218</v>
      </c>
      <c r="B220">
        <v>4.3810070000000003</v>
      </c>
      <c r="C220">
        <v>4.3495460000000001</v>
      </c>
      <c r="D220">
        <v>40467.348925999999</v>
      </c>
      <c r="E220">
        <v>32533.309205000001</v>
      </c>
      <c r="F220">
        <v>2.048</v>
      </c>
      <c r="G220">
        <v>1.7949999999999999</v>
      </c>
      <c r="H220">
        <f t="shared" si="24"/>
        <v>42578.125</v>
      </c>
      <c r="I220" s="4">
        <f t="shared" si="30"/>
        <v>-4.9574190361834893E-2</v>
      </c>
      <c r="J220" s="4">
        <f t="shared" si="31"/>
        <v>-0.23591493977247704</v>
      </c>
      <c r="K220" s="4">
        <f t="shared" si="25"/>
        <v>-0.19606027900440076</v>
      </c>
      <c r="L220">
        <f t="shared" si="26"/>
        <v>4.2578125</v>
      </c>
      <c r="M220" s="4">
        <f t="shared" si="27"/>
        <v>2.8933754128440441E-2</v>
      </c>
      <c r="N220" s="4">
        <f t="shared" si="28"/>
        <v>2.1544748623853242E-2</v>
      </c>
      <c r="O220" s="4">
        <f t="shared" si="29"/>
        <v>-7.1812256862406705E-3</v>
      </c>
    </row>
    <row r="221" spans="1:15" x14ac:dyDescent="0.3">
      <c r="A221">
        <v>219</v>
      </c>
      <c r="B221">
        <v>4.4012320000000003</v>
      </c>
      <c r="C221">
        <v>4.3696390000000003</v>
      </c>
      <c r="D221">
        <v>40656.828730000001</v>
      </c>
      <c r="E221">
        <v>32713.552936</v>
      </c>
      <c r="F221">
        <v>2.048</v>
      </c>
      <c r="G221">
        <v>1.796813</v>
      </c>
      <c r="H221">
        <f t="shared" si="24"/>
        <v>42773.4375</v>
      </c>
      <c r="I221" s="4">
        <f t="shared" si="30"/>
        <v>-4.9484186768949744E-2</v>
      </c>
      <c r="J221" s="4">
        <f t="shared" si="31"/>
        <v>-0.23518999528621004</v>
      </c>
      <c r="K221" s="4">
        <f t="shared" si="25"/>
        <v>-0.1953737180720834</v>
      </c>
      <c r="L221">
        <f t="shared" si="26"/>
        <v>4.27734375</v>
      </c>
      <c r="M221" s="4">
        <f t="shared" si="27"/>
        <v>2.8963828310502343E-2</v>
      </c>
      <c r="N221" s="4">
        <f t="shared" si="28"/>
        <v>2.1577702283105085E-2</v>
      </c>
      <c r="O221" s="4">
        <f t="shared" si="29"/>
        <v>-7.1782173718631468E-3</v>
      </c>
    </row>
    <row r="222" spans="1:15" x14ac:dyDescent="0.3">
      <c r="A222">
        <v>220</v>
      </c>
      <c r="B222">
        <v>4.4212369999999996</v>
      </c>
      <c r="C222">
        <v>4.3896439999999997</v>
      </c>
      <c r="D222">
        <v>40838.236401000002</v>
      </c>
      <c r="E222">
        <v>32887.620756999997</v>
      </c>
      <c r="F222">
        <v>2.048</v>
      </c>
      <c r="G222">
        <v>1.798438</v>
      </c>
      <c r="H222">
        <f t="shared" si="24"/>
        <v>42968.75</v>
      </c>
      <c r="I222" s="4">
        <f t="shared" si="30"/>
        <v>-4.9582861940363591E-2</v>
      </c>
      <c r="J222" s="4">
        <f t="shared" si="31"/>
        <v>-0.23461537147345463</v>
      </c>
      <c r="K222" s="4">
        <f t="shared" si="25"/>
        <v>-0.19468557765156869</v>
      </c>
      <c r="L222">
        <f t="shared" si="26"/>
        <v>4.296875</v>
      </c>
      <c r="M222" s="4">
        <f t="shared" si="27"/>
        <v>2.8942429090909008E-2</v>
      </c>
      <c r="N222" s="4">
        <f t="shared" si="28"/>
        <v>2.1589876363636285E-2</v>
      </c>
      <c r="O222" s="4">
        <f t="shared" si="29"/>
        <v>-7.1457377200091253E-3</v>
      </c>
    </row>
    <row r="223" spans="1:15" x14ac:dyDescent="0.3">
      <c r="A223">
        <v>221</v>
      </c>
      <c r="B223">
        <v>4.4413739999999997</v>
      </c>
      <c r="C223">
        <v>4.4094720000000001</v>
      </c>
      <c r="D223">
        <v>41033.004719999997</v>
      </c>
      <c r="E223">
        <v>33063.618955999998</v>
      </c>
      <c r="F223">
        <v>2.048</v>
      </c>
      <c r="G223">
        <v>1.8002499999999999</v>
      </c>
      <c r="H223">
        <f t="shared" si="24"/>
        <v>43164.0625</v>
      </c>
      <c r="I223" s="4">
        <f t="shared" si="30"/>
        <v>-4.9371112369230835E-2</v>
      </c>
      <c r="J223" s="4">
        <f t="shared" si="31"/>
        <v>-0.23400122599674211</v>
      </c>
      <c r="K223" s="4">
        <f t="shared" si="25"/>
        <v>-0.19421891763426286</v>
      </c>
      <c r="L223">
        <f t="shared" si="26"/>
        <v>4.31640625</v>
      </c>
      <c r="M223" s="4">
        <f t="shared" si="27"/>
        <v>2.8951804524886812E-2</v>
      </c>
      <c r="N223" s="4">
        <f t="shared" si="28"/>
        <v>2.1560933936651597E-2</v>
      </c>
      <c r="O223" s="4">
        <f t="shared" si="29"/>
        <v>-7.1829123149727211E-3</v>
      </c>
    </row>
    <row r="224" spans="1:15" x14ac:dyDescent="0.3">
      <c r="A224">
        <v>222</v>
      </c>
      <c r="B224">
        <v>4.4611590000000003</v>
      </c>
      <c r="C224">
        <v>4.4295650000000002</v>
      </c>
      <c r="D224">
        <v>41218.488758</v>
      </c>
      <c r="E224">
        <v>33241.819165000001</v>
      </c>
      <c r="F224">
        <v>2.048</v>
      </c>
      <c r="G224">
        <v>1.801812</v>
      </c>
      <c r="H224">
        <f t="shared" si="24"/>
        <v>43359.375</v>
      </c>
      <c r="I224" s="4">
        <f t="shared" si="30"/>
        <v>-4.9375394410090104E-2</v>
      </c>
      <c r="J224" s="4">
        <f t="shared" si="31"/>
        <v>-0.23334182826666666</v>
      </c>
      <c r="K224" s="4">
        <f t="shared" si="25"/>
        <v>-0.19352164121863458</v>
      </c>
      <c r="L224">
        <f t="shared" si="26"/>
        <v>4.3359375</v>
      </c>
      <c r="M224" s="4">
        <f t="shared" si="27"/>
        <v>2.8879913513513586E-2</v>
      </c>
      <c r="N224" s="4">
        <f t="shared" si="28"/>
        <v>2.1593369369369415E-2</v>
      </c>
      <c r="O224" s="4">
        <f t="shared" si="29"/>
        <v>-7.0820161307857711E-3</v>
      </c>
    </row>
    <row r="225" spans="1:15" x14ac:dyDescent="0.3">
      <c r="A225">
        <v>223</v>
      </c>
      <c r="B225">
        <v>4.4812079999999996</v>
      </c>
      <c r="C225">
        <v>4.4494379999999998</v>
      </c>
      <c r="D225">
        <v>41415.212813999999</v>
      </c>
      <c r="E225">
        <v>33422.309185999999</v>
      </c>
      <c r="F225">
        <v>2.048</v>
      </c>
      <c r="G225">
        <v>1.8035000000000001</v>
      </c>
      <c r="H225">
        <f t="shared" si="24"/>
        <v>43554.6875</v>
      </c>
      <c r="I225" s="4">
        <f t="shared" si="30"/>
        <v>-4.9121571266009002E-2</v>
      </c>
      <c r="J225" s="4">
        <f t="shared" si="31"/>
        <v>-0.23263577115551573</v>
      </c>
      <c r="K225" s="4">
        <f t="shared" si="25"/>
        <v>-0.19299438744639455</v>
      </c>
      <c r="L225">
        <f t="shared" si="26"/>
        <v>4.35546875</v>
      </c>
      <c r="M225" s="4">
        <f t="shared" si="27"/>
        <v>2.8869280717488705E-2</v>
      </c>
      <c r="N225" s="4">
        <f t="shared" si="28"/>
        <v>2.157500269058291E-2</v>
      </c>
      <c r="O225" s="4">
        <f t="shared" si="29"/>
        <v>-7.0896061954722599E-3</v>
      </c>
    </row>
    <row r="226" spans="1:15" x14ac:dyDescent="0.3">
      <c r="A226">
        <v>224</v>
      </c>
      <c r="B226">
        <v>4.5019169999999997</v>
      </c>
      <c r="C226">
        <v>4.4717339999999997</v>
      </c>
      <c r="D226">
        <v>41575.884960000003</v>
      </c>
      <c r="E226">
        <v>33578.461734999997</v>
      </c>
      <c r="F226">
        <v>2.048</v>
      </c>
      <c r="G226">
        <v>1.8051250000000001</v>
      </c>
      <c r="H226">
        <f t="shared" si="24"/>
        <v>43750</v>
      </c>
      <c r="I226" s="4">
        <f t="shared" si="30"/>
        <v>-4.969405805714279E-2</v>
      </c>
      <c r="J226" s="4">
        <f t="shared" si="31"/>
        <v>-0.23249230320000006</v>
      </c>
      <c r="K226" s="4">
        <f t="shared" si="25"/>
        <v>-0.19235725788385011</v>
      </c>
      <c r="L226">
        <f t="shared" si="26"/>
        <v>4.375</v>
      </c>
      <c r="M226" s="4">
        <f t="shared" si="27"/>
        <v>2.9009599999999938E-2</v>
      </c>
      <c r="N226" s="4">
        <f t="shared" si="28"/>
        <v>2.2110628571428492E-2</v>
      </c>
      <c r="O226" s="4">
        <f t="shared" si="29"/>
        <v>-6.7044772260350582E-3</v>
      </c>
    </row>
    <row r="227" spans="1:15" x14ac:dyDescent="0.3">
      <c r="A227">
        <v>225</v>
      </c>
      <c r="B227">
        <v>4.5220539999999998</v>
      </c>
      <c r="C227">
        <v>4.4918269999999998</v>
      </c>
      <c r="D227">
        <v>41769.848414</v>
      </c>
      <c r="E227">
        <v>33757.444184</v>
      </c>
      <c r="F227">
        <v>2.048</v>
      </c>
      <c r="G227">
        <v>1.8066249999999999</v>
      </c>
      <c r="H227">
        <f t="shared" si="24"/>
        <v>43945.3125</v>
      </c>
      <c r="I227" s="4">
        <f t="shared" si="30"/>
        <v>-4.9503893868088886E-2</v>
      </c>
      <c r="J227" s="4">
        <f t="shared" si="31"/>
        <v>-0.23183060345742224</v>
      </c>
      <c r="K227" s="4">
        <f t="shared" si="25"/>
        <v>-0.19182267913891884</v>
      </c>
      <c r="L227">
        <f t="shared" si="26"/>
        <v>4.39453125</v>
      </c>
      <c r="M227" s="4">
        <f t="shared" si="27"/>
        <v>2.9018510222222176E-2</v>
      </c>
      <c r="N227" s="4">
        <f t="shared" si="28"/>
        <v>2.2140188444444396E-2</v>
      </c>
      <c r="O227" s="4">
        <f t="shared" si="29"/>
        <v>-6.6843518454224576E-3</v>
      </c>
    </row>
    <row r="228" spans="1:15" x14ac:dyDescent="0.3">
      <c r="A228">
        <v>226</v>
      </c>
      <c r="B228">
        <v>4.5421469999999999</v>
      </c>
      <c r="C228">
        <v>4.5118320000000001</v>
      </c>
      <c r="D228">
        <v>41960.393279000004</v>
      </c>
      <c r="E228">
        <v>33935.002894999998</v>
      </c>
      <c r="F228">
        <v>2.048</v>
      </c>
      <c r="G228">
        <v>1.8083119999999999</v>
      </c>
      <c r="H228">
        <f t="shared" si="24"/>
        <v>44140.625</v>
      </c>
      <c r="I228" s="4">
        <f t="shared" si="30"/>
        <v>-4.9392860227964519E-2</v>
      </c>
      <c r="J228" s="4">
        <f t="shared" si="31"/>
        <v>-0.23120701406017705</v>
      </c>
      <c r="K228" s="4">
        <f t="shared" si="25"/>
        <v>-0.19126108591590554</v>
      </c>
      <c r="L228">
        <f t="shared" si="26"/>
        <v>4.4140625</v>
      </c>
      <c r="M228" s="4">
        <f t="shared" si="27"/>
        <v>2.9017373451327419E-2</v>
      </c>
      <c r="N228" s="4">
        <f t="shared" si="28"/>
        <v>2.2149550442477892E-2</v>
      </c>
      <c r="O228" s="4">
        <f t="shared" si="29"/>
        <v>-6.6741565167309355E-3</v>
      </c>
    </row>
    <row r="229" spans="1:15" x14ac:dyDescent="0.3">
      <c r="A229">
        <v>227</v>
      </c>
      <c r="B229">
        <v>4.5620640000000003</v>
      </c>
      <c r="C229">
        <v>4.5318800000000001</v>
      </c>
      <c r="D229">
        <v>42148.989613999998</v>
      </c>
      <c r="E229">
        <v>34110.459611999999</v>
      </c>
      <c r="F229">
        <v>2.048</v>
      </c>
      <c r="G229">
        <v>1.810125</v>
      </c>
      <c r="H229">
        <f t="shared" si="24"/>
        <v>44335.9375</v>
      </c>
      <c r="I229" s="4">
        <f t="shared" si="30"/>
        <v>-4.9326754080704888E-2</v>
      </c>
      <c r="J229" s="4">
        <f t="shared" si="31"/>
        <v>-0.23063632945621149</v>
      </c>
      <c r="K229" s="4">
        <f t="shared" si="25"/>
        <v>-0.19071702727910614</v>
      </c>
      <c r="L229">
        <f t="shared" si="26"/>
        <v>4.43359375</v>
      </c>
      <c r="M229" s="4">
        <f t="shared" si="27"/>
        <v>2.8976549779735759E-2</v>
      </c>
      <c r="N229" s="4">
        <f t="shared" si="28"/>
        <v>2.2168528634361261E-2</v>
      </c>
      <c r="O229" s="4">
        <f t="shared" si="29"/>
        <v>-6.6163034977151152E-3</v>
      </c>
    </row>
    <row r="230" spans="1:15" x14ac:dyDescent="0.3">
      <c r="A230">
        <v>228</v>
      </c>
      <c r="B230">
        <v>4.5821569999999996</v>
      </c>
      <c r="C230">
        <v>4.5520620000000003</v>
      </c>
      <c r="D230">
        <v>42335.787833000002</v>
      </c>
      <c r="E230">
        <v>34291.891021000003</v>
      </c>
      <c r="F230">
        <v>2.048</v>
      </c>
      <c r="G230">
        <v>1.811625</v>
      </c>
      <c r="H230">
        <f t="shared" si="24"/>
        <v>44531.25</v>
      </c>
      <c r="I230" s="4">
        <f t="shared" si="30"/>
        <v>-4.9301606557192935E-2</v>
      </c>
      <c r="J230" s="4">
        <f t="shared" si="31"/>
        <v>-0.22993648233543854</v>
      </c>
      <c r="K230" s="4">
        <f t="shared" si="25"/>
        <v>-0.19000229412832428</v>
      </c>
      <c r="L230">
        <f t="shared" si="26"/>
        <v>4.453125</v>
      </c>
      <c r="M230" s="4">
        <f t="shared" si="27"/>
        <v>2.8975607017543769E-2</v>
      </c>
      <c r="N230" s="4">
        <f t="shared" si="28"/>
        <v>2.2217431578947431E-2</v>
      </c>
      <c r="O230" s="4">
        <f t="shared" si="29"/>
        <v>-6.5678674912272366E-3</v>
      </c>
    </row>
    <row r="231" spans="1:15" x14ac:dyDescent="0.3">
      <c r="A231">
        <v>229</v>
      </c>
      <c r="B231">
        <v>4.6022939999999997</v>
      </c>
      <c r="C231">
        <v>4.5720660000000004</v>
      </c>
      <c r="D231">
        <v>42530.121241000001</v>
      </c>
      <c r="E231">
        <v>34469.851447000001</v>
      </c>
      <c r="F231">
        <v>2.048</v>
      </c>
      <c r="G231">
        <v>1.81325</v>
      </c>
      <c r="H231">
        <f t="shared" si="24"/>
        <v>44726.5625</v>
      </c>
      <c r="I231" s="4">
        <f t="shared" si="30"/>
        <v>-4.910820631475981E-2</v>
      </c>
      <c r="J231" s="4">
        <f t="shared" si="31"/>
        <v>-0.22932035192733621</v>
      </c>
      <c r="K231" s="4">
        <f t="shared" si="25"/>
        <v>-0.18951908809114132</v>
      </c>
      <c r="L231">
        <f t="shared" si="26"/>
        <v>4.47265625</v>
      </c>
      <c r="M231" s="4">
        <f t="shared" si="27"/>
        <v>2.8984510043668046E-2</v>
      </c>
      <c r="N231" s="4">
        <f t="shared" si="28"/>
        <v>2.2226110043668212E-2</v>
      </c>
      <c r="O231" s="4">
        <f t="shared" si="29"/>
        <v>-6.5680289003699583E-3</v>
      </c>
    </row>
    <row r="232" spans="1:15" x14ac:dyDescent="0.3">
      <c r="A232">
        <v>230</v>
      </c>
      <c r="B232">
        <v>4.6224309999999997</v>
      </c>
      <c r="C232">
        <v>4.5918510000000001</v>
      </c>
      <c r="D232">
        <v>42718.967022999997</v>
      </c>
      <c r="E232">
        <v>34649.140815999999</v>
      </c>
      <c r="F232">
        <v>2.048</v>
      </c>
      <c r="G232">
        <v>1.8146880000000001</v>
      </c>
      <c r="H232">
        <f t="shared" si="24"/>
        <v>44921.875</v>
      </c>
      <c r="I232" s="4">
        <f t="shared" si="30"/>
        <v>-4.9038647140173967E-2</v>
      </c>
      <c r="J232" s="4">
        <f t="shared" si="31"/>
        <v>-0.22867999574817394</v>
      </c>
      <c r="K232" s="4">
        <f t="shared" si="25"/>
        <v>-0.18890499394929619</v>
      </c>
      <c r="L232">
        <f t="shared" si="26"/>
        <v>4.4921875</v>
      </c>
      <c r="M232" s="4">
        <f t="shared" si="27"/>
        <v>2.8993335652173855E-2</v>
      </c>
      <c r="N232" s="4">
        <f t="shared" si="28"/>
        <v>2.2185961739130462E-2</v>
      </c>
      <c r="O232" s="4">
        <f t="shared" si="29"/>
        <v>-6.6155665709233102E-3</v>
      </c>
    </row>
    <row r="233" spans="1:15" x14ac:dyDescent="0.3">
      <c r="A233">
        <v>231</v>
      </c>
      <c r="B233">
        <v>4.6423030000000001</v>
      </c>
      <c r="C233">
        <v>4.6118119999999996</v>
      </c>
      <c r="D233">
        <v>42908.605080000001</v>
      </c>
      <c r="E233">
        <v>34828.991468</v>
      </c>
      <c r="F233">
        <v>2.048</v>
      </c>
      <c r="G233">
        <v>1.8164370000000001</v>
      </c>
      <c r="H233">
        <f t="shared" si="24"/>
        <v>45117.1875</v>
      </c>
      <c r="I233" s="4">
        <f t="shared" si="30"/>
        <v>-4.8952129828571403E-2</v>
      </c>
      <c r="J233" s="4">
        <f t="shared" si="31"/>
        <v>-0.22803274322008657</v>
      </c>
      <c r="K233" s="4">
        <f t="shared" si="25"/>
        <v>-0.18829821190728863</v>
      </c>
      <c r="L233">
        <f t="shared" si="26"/>
        <v>4.51171875</v>
      </c>
      <c r="M233" s="4">
        <f t="shared" si="27"/>
        <v>2.8943348917748933E-2</v>
      </c>
      <c r="N233" s="4">
        <f t="shared" si="28"/>
        <v>2.218517056277047E-2</v>
      </c>
      <c r="O233" s="4">
        <f t="shared" si="29"/>
        <v>-6.5680762328526356E-3</v>
      </c>
    </row>
    <row r="234" spans="1:15" x14ac:dyDescent="0.3">
      <c r="A234">
        <v>232</v>
      </c>
      <c r="B234">
        <v>4.6635859999999996</v>
      </c>
      <c r="C234">
        <v>4.6327420000000004</v>
      </c>
      <c r="D234">
        <v>43094.714262000001</v>
      </c>
      <c r="E234">
        <v>35004.740782000001</v>
      </c>
      <c r="F234">
        <v>2.048</v>
      </c>
      <c r="G234">
        <v>1.818125</v>
      </c>
      <c r="H234">
        <f t="shared" si="24"/>
        <v>45312.5</v>
      </c>
      <c r="I234" s="4">
        <f t="shared" si="30"/>
        <v>-4.8944236976551696E-2</v>
      </c>
      <c r="J234" s="4">
        <f t="shared" si="31"/>
        <v>-0.22748158274206895</v>
      </c>
      <c r="K234" s="4">
        <f t="shared" si="25"/>
        <v>-0.1877254233736402</v>
      </c>
      <c r="L234">
        <f t="shared" si="26"/>
        <v>4.53125</v>
      </c>
      <c r="M234" s="4">
        <f t="shared" si="27"/>
        <v>2.9205186206896456E-2</v>
      </c>
      <c r="N234" s="4">
        <f t="shared" si="28"/>
        <v>2.2398234482758701E-2</v>
      </c>
      <c r="O234" s="4">
        <f t="shared" si="29"/>
        <v>-6.6137946207058705E-3</v>
      </c>
    </row>
    <row r="235" spans="1:15" x14ac:dyDescent="0.3">
      <c r="A235">
        <v>233</v>
      </c>
      <c r="B235">
        <v>4.6837669999999996</v>
      </c>
      <c r="C235">
        <v>4.6529230000000004</v>
      </c>
      <c r="D235">
        <v>43287.080018000001</v>
      </c>
      <c r="E235">
        <v>35185.499551000001</v>
      </c>
      <c r="F235">
        <v>2.048</v>
      </c>
      <c r="G235">
        <v>1.8194380000000001</v>
      </c>
      <c r="H235">
        <f t="shared" si="24"/>
        <v>45507.8125</v>
      </c>
      <c r="I235" s="4">
        <f t="shared" si="30"/>
        <v>-4.8798928359828311E-2</v>
      </c>
      <c r="J235" s="4">
        <f t="shared" si="31"/>
        <v>-0.22682507424412016</v>
      </c>
      <c r="K235" s="4">
        <f t="shared" si="25"/>
        <v>-0.18715932013966136</v>
      </c>
      <c r="L235">
        <f t="shared" si="26"/>
        <v>4.55078125</v>
      </c>
      <c r="M235" s="4">
        <f t="shared" si="27"/>
        <v>2.9222619742489176E-2</v>
      </c>
      <c r="N235" s="4">
        <f t="shared" si="28"/>
        <v>2.2444882403433557E-2</v>
      </c>
      <c r="O235" s="4">
        <f t="shared" si="29"/>
        <v>-6.5852976888045901E-3</v>
      </c>
    </row>
    <row r="236" spans="1:15" x14ac:dyDescent="0.3">
      <c r="A236">
        <v>234</v>
      </c>
      <c r="B236">
        <v>4.7038159999999998</v>
      </c>
      <c r="C236">
        <v>4.6729279999999997</v>
      </c>
      <c r="D236">
        <v>43475.165271999998</v>
      </c>
      <c r="E236">
        <v>35364.812590000001</v>
      </c>
      <c r="F236">
        <v>2.048</v>
      </c>
      <c r="G236">
        <v>1.8211250000000001</v>
      </c>
      <c r="H236">
        <f t="shared" si="24"/>
        <v>45703.125</v>
      </c>
      <c r="I236" s="4">
        <f t="shared" si="30"/>
        <v>-4.8748520544273539E-2</v>
      </c>
      <c r="J236" s="4">
        <f t="shared" si="31"/>
        <v>-0.22620580999658116</v>
      </c>
      <c r="K236" s="4">
        <f t="shared" si="25"/>
        <v>-0.18655139391093783</v>
      </c>
      <c r="L236">
        <f t="shared" si="26"/>
        <v>4.5703125</v>
      </c>
      <c r="M236" s="4">
        <f t="shared" si="27"/>
        <v>2.9211022222222174E-2</v>
      </c>
      <c r="N236" s="4">
        <f t="shared" si="28"/>
        <v>2.2452622222222166E-2</v>
      </c>
      <c r="O236" s="4">
        <f t="shared" si="29"/>
        <v>-6.5665833867651346E-3</v>
      </c>
    </row>
    <row r="237" spans="1:15" x14ac:dyDescent="0.3">
      <c r="A237">
        <v>235</v>
      </c>
      <c r="B237">
        <v>4.723865</v>
      </c>
      <c r="C237">
        <v>4.6930199999999997</v>
      </c>
      <c r="D237">
        <v>43664.901244000001</v>
      </c>
      <c r="E237">
        <v>35547.955870999998</v>
      </c>
      <c r="F237">
        <v>2.048</v>
      </c>
      <c r="G237">
        <v>1.8225</v>
      </c>
      <c r="H237">
        <f t="shared" si="24"/>
        <v>45898.4375</v>
      </c>
      <c r="I237" s="4">
        <f t="shared" si="30"/>
        <v>-4.8662577151999988E-2</v>
      </c>
      <c r="J237" s="4">
        <f t="shared" si="31"/>
        <v>-0.22550836570417024</v>
      </c>
      <c r="K237" s="4">
        <f t="shared" si="25"/>
        <v>-0.18589176069911192</v>
      </c>
      <c r="L237">
        <f t="shared" si="26"/>
        <v>4.58984375</v>
      </c>
      <c r="M237" s="4">
        <f t="shared" si="27"/>
        <v>2.9199523404255315E-2</v>
      </c>
      <c r="N237" s="4">
        <f t="shared" si="28"/>
        <v>2.2479251063829732E-2</v>
      </c>
      <c r="O237" s="4">
        <f t="shared" si="29"/>
        <v>-6.5296108165665686E-3</v>
      </c>
    </row>
    <row r="238" spans="1:15" x14ac:dyDescent="0.3">
      <c r="A238">
        <v>236</v>
      </c>
      <c r="B238">
        <v>4.7437820000000004</v>
      </c>
      <c r="C238">
        <v>4.713069</v>
      </c>
      <c r="D238">
        <v>43853.895602999997</v>
      </c>
      <c r="E238">
        <v>35728.033825999999</v>
      </c>
      <c r="F238">
        <v>2.048</v>
      </c>
      <c r="G238">
        <v>1.8241879999999999</v>
      </c>
      <c r="H238">
        <f t="shared" si="24"/>
        <v>46093.75</v>
      </c>
      <c r="I238" s="4">
        <f t="shared" si="30"/>
        <v>-4.8593451324745823E-2</v>
      </c>
      <c r="J238" s="4">
        <f t="shared" si="31"/>
        <v>-0.22488333394440679</v>
      </c>
      <c r="K238" s="4">
        <f t="shared" si="25"/>
        <v>-0.18529395542329236</v>
      </c>
      <c r="L238">
        <f t="shared" si="26"/>
        <v>4.609375</v>
      </c>
      <c r="M238" s="4">
        <f t="shared" si="27"/>
        <v>2.9159484745762795E-2</v>
      </c>
      <c r="N238" s="4">
        <f t="shared" si="28"/>
        <v>2.2496325423728803E-2</v>
      </c>
      <c r="O238" s="4">
        <f t="shared" si="29"/>
        <v>-6.4743700279651199E-3</v>
      </c>
    </row>
    <row r="239" spans="1:15" x14ac:dyDescent="0.3">
      <c r="A239">
        <v>237</v>
      </c>
      <c r="B239">
        <v>4.7640070000000003</v>
      </c>
      <c r="C239">
        <v>4.7330740000000002</v>
      </c>
      <c r="D239">
        <v>44043.177283999998</v>
      </c>
      <c r="E239">
        <v>35908.468332999997</v>
      </c>
      <c r="F239">
        <v>2.048</v>
      </c>
      <c r="G239">
        <v>1.82575</v>
      </c>
      <c r="H239">
        <f t="shared" si="24"/>
        <v>46289.0625</v>
      </c>
      <c r="I239" s="4">
        <f t="shared" si="30"/>
        <v>-4.8518701712742668E-2</v>
      </c>
      <c r="J239" s="4">
        <f t="shared" si="31"/>
        <v>-0.22425587398751062</v>
      </c>
      <c r="K239" s="4">
        <f t="shared" si="25"/>
        <v>-0.18469850389188833</v>
      </c>
      <c r="L239">
        <f t="shared" si="26"/>
        <v>4.62890625</v>
      </c>
      <c r="M239" s="4">
        <f t="shared" si="27"/>
        <v>2.918632236286927E-2</v>
      </c>
      <c r="N239" s="4">
        <f t="shared" si="28"/>
        <v>2.2503750210970511E-2</v>
      </c>
      <c r="O239" s="4">
        <f t="shared" si="29"/>
        <v>-6.493063507253473E-3</v>
      </c>
    </row>
    <row r="240" spans="1:15" x14ac:dyDescent="0.3">
      <c r="A240">
        <v>238</v>
      </c>
      <c r="B240">
        <v>4.7842760000000002</v>
      </c>
      <c r="C240">
        <v>4.7531230000000004</v>
      </c>
      <c r="D240">
        <v>44230.691138000002</v>
      </c>
      <c r="E240">
        <v>36090.478353999999</v>
      </c>
      <c r="F240">
        <v>2.048</v>
      </c>
      <c r="G240">
        <v>1.827188</v>
      </c>
      <c r="H240">
        <f t="shared" si="24"/>
        <v>46484.375</v>
      </c>
      <c r="I240" s="4">
        <f t="shared" si="30"/>
        <v>-4.8482610812773066E-2</v>
      </c>
      <c r="J240" s="4">
        <f t="shared" si="31"/>
        <v>-0.2235997933929412</v>
      </c>
      <c r="K240" s="4">
        <f t="shared" si="25"/>
        <v>-0.18403991831379016</v>
      </c>
      <c r="L240">
        <f t="shared" si="26"/>
        <v>4.6484375</v>
      </c>
      <c r="M240" s="4">
        <f t="shared" si="27"/>
        <v>2.9222400000000041E-2</v>
      </c>
      <c r="N240" s="4">
        <f t="shared" si="28"/>
        <v>2.2520578151260597E-2</v>
      </c>
      <c r="O240" s="4">
        <f t="shared" si="29"/>
        <v>-6.511539050004591E-3</v>
      </c>
    </row>
    <row r="241" spans="1:15" x14ac:dyDescent="0.3">
      <c r="A241">
        <v>239</v>
      </c>
      <c r="B241">
        <v>4.8043250000000004</v>
      </c>
      <c r="C241">
        <v>4.772996</v>
      </c>
      <c r="D241">
        <v>44419.243751000002</v>
      </c>
      <c r="E241">
        <v>36274.698082000003</v>
      </c>
      <c r="F241">
        <v>2.048</v>
      </c>
      <c r="G241">
        <v>1.8286880000000001</v>
      </c>
      <c r="H241">
        <f t="shared" si="24"/>
        <v>46679.6875</v>
      </c>
      <c r="I241" s="4">
        <f t="shared" si="30"/>
        <v>-4.8424569016234272E-2</v>
      </c>
      <c r="J241" s="4">
        <f t="shared" si="31"/>
        <v>-0.22290186535631792</v>
      </c>
      <c r="K241" s="4">
        <f t="shared" si="25"/>
        <v>-0.18335624340332546</v>
      </c>
      <c r="L241">
        <f t="shared" si="26"/>
        <v>4.66796875</v>
      </c>
      <c r="M241" s="4">
        <f t="shared" si="27"/>
        <v>2.921104602510469E-2</v>
      </c>
      <c r="N241" s="4">
        <f t="shared" si="28"/>
        <v>2.2499561506276154E-2</v>
      </c>
      <c r="O241" s="4">
        <f t="shared" si="29"/>
        <v>-6.5209993079153429E-3</v>
      </c>
    </row>
    <row r="242" spans="1:15" x14ac:dyDescent="0.3">
      <c r="A242">
        <v>240</v>
      </c>
      <c r="B242">
        <v>4.8239330000000002</v>
      </c>
      <c r="C242">
        <v>4.7930890000000002</v>
      </c>
      <c r="D242">
        <v>44593.257708999998</v>
      </c>
      <c r="E242">
        <v>36466.332625000003</v>
      </c>
      <c r="F242">
        <v>2.048</v>
      </c>
      <c r="G242">
        <v>1.8301879999999999</v>
      </c>
      <c r="H242">
        <f t="shared" si="24"/>
        <v>46875</v>
      </c>
      <c r="I242" s="4">
        <f t="shared" si="30"/>
        <v>-4.8677168874666714E-2</v>
      </c>
      <c r="J242" s="4">
        <f t="shared" si="31"/>
        <v>-0.22205157066666661</v>
      </c>
      <c r="K242" s="4">
        <f t="shared" si="25"/>
        <v>-0.18224560172377324</v>
      </c>
      <c r="L242">
        <f t="shared" si="26"/>
        <v>4.6875</v>
      </c>
      <c r="M242" s="4">
        <f t="shared" si="27"/>
        <v>2.910570666666672E-2</v>
      </c>
      <c r="N242" s="4">
        <f t="shared" si="28"/>
        <v>2.2525653333333368E-2</v>
      </c>
      <c r="O242" s="4">
        <f t="shared" si="29"/>
        <v>-6.3939528181672697E-3</v>
      </c>
    </row>
    <row r="243" spans="1:15" x14ac:dyDescent="0.3">
      <c r="A243">
        <v>241</v>
      </c>
      <c r="B243">
        <v>4.8439819999999996</v>
      </c>
      <c r="C243">
        <v>4.8130050000000004</v>
      </c>
      <c r="D243">
        <v>44783.792144999999</v>
      </c>
      <c r="E243">
        <v>36647.765958999997</v>
      </c>
      <c r="F243">
        <v>2.048</v>
      </c>
      <c r="G243">
        <v>1.8318129999999999</v>
      </c>
      <c r="H243">
        <f t="shared" si="24"/>
        <v>47070.3125</v>
      </c>
      <c r="I243" s="4">
        <f t="shared" si="30"/>
        <v>-4.857669799834026E-2</v>
      </c>
      <c r="J243" s="4">
        <f t="shared" si="31"/>
        <v>-0.22142505514489633</v>
      </c>
      <c r="K243" s="4">
        <f t="shared" si="25"/>
        <v>-0.18167345363825715</v>
      </c>
      <c r="L243">
        <f t="shared" si="26"/>
        <v>4.70703125</v>
      </c>
      <c r="M243" s="4">
        <f t="shared" si="27"/>
        <v>2.9094931120331857E-2</v>
      </c>
      <c r="N243" s="4">
        <f t="shared" si="28"/>
        <v>2.2513925311203407E-2</v>
      </c>
      <c r="O243" s="4">
        <f t="shared" si="29"/>
        <v>-6.3949453156512855E-3</v>
      </c>
    </row>
    <row r="244" spans="1:15" x14ac:dyDescent="0.3">
      <c r="A244">
        <v>242</v>
      </c>
      <c r="B244">
        <v>4.8640309999999998</v>
      </c>
      <c r="C244">
        <v>4.8332300000000004</v>
      </c>
      <c r="D244">
        <v>44972.775393999997</v>
      </c>
      <c r="E244">
        <v>36830.993315</v>
      </c>
      <c r="F244">
        <v>2.048</v>
      </c>
      <c r="G244">
        <v>1.83325</v>
      </c>
      <c r="H244">
        <f t="shared" si="24"/>
        <v>47265.625</v>
      </c>
      <c r="I244" s="4">
        <f t="shared" si="30"/>
        <v>-4.8509875961652967E-2</v>
      </c>
      <c r="J244" s="4">
        <f t="shared" si="31"/>
        <v>-0.22076576126942149</v>
      </c>
      <c r="K244" s="4">
        <f t="shared" si="25"/>
        <v>-0.18103801705967706</v>
      </c>
      <c r="L244">
        <f t="shared" si="26"/>
        <v>4.7265625</v>
      </c>
      <c r="M244" s="4">
        <f t="shared" si="27"/>
        <v>2.9084244628099123E-2</v>
      </c>
      <c r="N244" s="4">
        <f t="shared" si="28"/>
        <v>2.256766942148768E-2</v>
      </c>
      <c r="O244" s="4">
        <f t="shared" si="29"/>
        <v>-6.332402075562309E-3</v>
      </c>
    </row>
    <row r="245" spans="1:15" x14ac:dyDescent="0.3">
      <c r="A245">
        <v>243</v>
      </c>
      <c r="B245">
        <v>4.8841239999999999</v>
      </c>
      <c r="C245">
        <v>4.8532349999999997</v>
      </c>
      <c r="D245">
        <v>45160.607580000004</v>
      </c>
      <c r="E245">
        <v>37014.677337000001</v>
      </c>
      <c r="F245">
        <v>2.048</v>
      </c>
      <c r="G245">
        <v>1.834438</v>
      </c>
      <c r="H245">
        <f t="shared" si="24"/>
        <v>47460.9375</v>
      </c>
      <c r="I245" s="4">
        <f t="shared" si="30"/>
        <v>-4.8467856750617211E-2</v>
      </c>
      <c r="J245" s="4">
        <f t="shared" si="31"/>
        <v>-0.22010227174716046</v>
      </c>
      <c r="K245" s="4">
        <f t="shared" si="25"/>
        <v>-0.18037689658115982</v>
      </c>
      <c r="L245">
        <f t="shared" si="26"/>
        <v>4.74609375</v>
      </c>
      <c r="M245" s="4">
        <f t="shared" si="27"/>
        <v>2.9082916872427964E-2</v>
      </c>
      <c r="N245" s="4">
        <f t="shared" si="28"/>
        <v>2.2574617283950563E-2</v>
      </c>
      <c r="O245" s="4">
        <f t="shared" si="29"/>
        <v>-6.3243685049765661E-3</v>
      </c>
    </row>
    <row r="246" spans="1:15" x14ac:dyDescent="0.3">
      <c r="A246">
        <v>244</v>
      </c>
      <c r="B246">
        <v>4.9040400000000002</v>
      </c>
      <c r="C246">
        <v>4.8733279999999999</v>
      </c>
      <c r="D246">
        <v>45348.827888</v>
      </c>
      <c r="E246">
        <v>37197.369189999998</v>
      </c>
      <c r="F246">
        <v>2.048</v>
      </c>
      <c r="G246">
        <v>1.8360000000000001</v>
      </c>
      <c r="H246">
        <f t="shared" si="24"/>
        <v>47656.25</v>
      </c>
      <c r="I246" s="4">
        <f t="shared" si="30"/>
        <v>-4.8418037760000004E-2</v>
      </c>
      <c r="J246" s="4">
        <f t="shared" si="31"/>
        <v>-0.21946503994754105</v>
      </c>
      <c r="K246" s="4">
        <f t="shared" si="25"/>
        <v>-0.17975015182601894</v>
      </c>
      <c r="L246">
        <f t="shared" si="26"/>
        <v>4.765625</v>
      </c>
      <c r="M246" s="4">
        <f t="shared" si="27"/>
        <v>2.9044459016393478E-2</v>
      </c>
      <c r="N246" s="4">
        <f t="shared" si="28"/>
        <v>2.2599973770491777E-2</v>
      </c>
      <c r="O246" s="4">
        <f t="shared" si="29"/>
        <v>-6.2625916591219268E-3</v>
      </c>
    </row>
    <row r="247" spans="1:15" x14ac:dyDescent="0.3">
      <c r="A247">
        <v>245</v>
      </c>
      <c r="B247">
        <v>4.9242650000000001</v>
      </c>
      <c r="C247">
        <v>4.8932890000000002</v>
      </c>
      <c r="D247">
        <v>45536.551118000003</v>
      </c>
      <c r="E247">
        <v>37380.135426000001</v>
      </c>
      <c r="F247">
        <v>2.048</v>
      </c>
      <c r="G247">
        <v>1.8375619999999999</v>
      </c>
      <c r="H247">
        <f t="shared" si="24"/>
        <v>47851.5625</v>
      </c>
      <c r="I247" s="4">
        <f t="shared" si="30"/>
        <v>-4.8379013370775444E-2</v>
      </c>
      <c r="J247" s="4">
        <f t="shared" si="31"/>
        <v>-0.2188314555872653</v>
      </c>
      <c r="K247" s="4">
        <f t="shared" si="25"/>
        <v>-0.17911799404535664</v>
      </c>
      <c r="L247">
        <f t="shared" si="26"/>
        <v>4.78515625</v>
      </c>
      <c r="M247" s="4">
        <f t="shared" si="27"/>
        <v>2.9070889795918393E-2</v>
      </c>
      <c r="N247" s="4">
        <f t="shared" si="28"/>
        <v>2.2597537959183719E-2</v>
      </c>
      <c r="O247" s="4">
        <f t="shared" si="29"/>
        <v>-6.2904819297905151E-3</v>
      </c>
    </row>
    <row r="248" spans="1:15" x14ac:dyDescent="0.3">
      <c r="A248">
        <v>246</v>
      </c>
      <c r="B248">
        <v>4.9443580000000003</v>
      </c>
      <c r="C248">
        <v>4.913646</v>
      </c>
      <c r="D248">
        <v>45725.412242999999</v>
      </c>
      <c r="E248">
        <v>37564.608424999999</v>
      </c>
      <c r="F248">
        <v>2.048</v>
      </c>
      <c r="G248">
        <v>1.838875</v>
      </c>
      <c r="H248">
        <f t="shared" si="24"/>
        <v>48046.875</v>
      </c>
      <c r="I248" s="4">
        <f t="shared" si="30"/>
        <v>-4.8316623235121973E-2</v>
      </c>
      <c r="J248" s="4">
        <f t="shared" si="31"/>
        <v>-0.21816749944715449</v>
      </c>
      <c r="K248" s="4">
        <f t="shared" si="25"/>
        <v>-0.17847414419427832</v>
      </c>
      <c r="L248">
        <f t="shared" si="26"/>
        <v>4.8046875</v>
      </c>
      <c r="M248" s="4">
        <f t="shared" si="27"/>
        <v>2.9069632520325257E-2</v>
      </c>
      <c r="N248" s="4">
        <f t="shared" si="28"/>
        <v>2.2677541463414625E-2</v>
      </c>
      <c r="O248" s="4">
        <f t="shared" si="29"/>
        <v>-6.211524327324254E-3</v>
      </c>
    </row>
    <row r="249" spans="1:15" x14ac:dyDescent="0.3">
      <c r="A249">
        <v>247</v>
      </c>
      <c r="B249">
        <v>4.9647160000000001</v>
      </c>
      <c r="C249">
        <v>4.9335630000000004</v>
      </c>
      <c r="D249">
        <v>45913.516705000002</v>
      </c>
      <c r="E249">
        <v>37749.685540999999</v>
      </c>
      <c r="F249">
        <v>2.048</v>
      </c>
      <c r="G249">
        <v>1.8403119999999999</v>
      </c>
      <c r="H249">
        <f t="shared" si="24"/>
        <v>48242.1875</v>
      </c>
      <c r="I249" s="4">
        <f t="shared" si="30"/>
        <v>-4.8270422957084981E-2</v>
      </c>
      <c r="J249" s="4">
        <f t="shared" si="31"/>
        <v>-0.217496396882915</v>
      </c>
      <c r="K249" s="4">
        <f t="shared" si="25"/>
        <v>-0.17780888396011185</v>
      </c>
      <c r="L249">
        <f t="shared" si="26"/>
        <v>4.82421875</v>
      </c>
      <c r="M249" s="4">
        <f t="shared" si="27"/>
        <v>2.9123316599190312E-2</v>
      </c>
      <c r="N249" s="4">
        <f t="shared" si="28"/>
        <v>2.2665690688259185E-2</v>
      </c>
      <c r="O249" s="4">
        <f t="shared" si="29"/>
        <v>-6.2748805772575439E-3</v>
      </c>
    </row>
    <row r="250" spans="1:15" x14ac:dyDescent="0.3">
      <c r="A250">
        <v>248</v>
      </c>
      <c r="B250">
        <v>4.9864829999999998</v>
      </c>
      <c r="C250">
        <v>4.9527739999999998</v>
      </c>
      <c r="D250">
        <v>46098.353107000003</v>
      </c>
      <c r="E250">
        <v>37939.907431</v>
      </c>
      <c r="F250">
        <v>2.048</v>
      </c>
      <c r="G250">
        <v>1.8418749999999999</v>
      </c>
      <c r="H250">
        <f t="shared" si="24"/>
        <v>48437.5</v>
      </c>
      <c r="I250" s="4">
        <f t="shared" si="30"/>
        <v>-4.8292064887741883E-2</v>
      </c>
      <c r="J250" s="4">
        <f t="shared" si="31"/>
        <v>-0.21672449174709679</v>
      </c>
      <c r="K250" s="4">
        <f t="shared" si="25"/>
        <v>-0.17697911370202829</v>
      </c>
      <c r="L250">
        <f t="shared" si="26"/>
        <v>4.84375</v>
      </c>
      <c r="M250" s="4">
        <f t="shared" si="27"/>
        <v>2.9467458064516082E-2</v>
      </c>
      <c r="N250" s="4">
        <f t="shared" si="28"/>
        <v>2.2508180645161247E-2</v>
      </c>
      <c r="O250" s="4">
        <f t="shared" si="29"/>
        <v>-6.7600751872612403E-3</v>
      </c>
    </row>
    <row r="251" spans="1:15" x14ac:dyDescent="0.3">
      <c r="A251">
        <v>249</v>
      </c>
      <c r="B251">
        <v>5.0066639999999998</v>
      </c>
      <c r="C251">
        <v>4.9728669999999999</v>
      </c>
      <c r="D251">
        <v>46287.959865999997</v>
      </c>
      <c r="E251">
        <v>38124.838714999998</v>
      </c>
      <c r="F251">
        <v>2.048</v>
      </c>
      <c r="G251">
        <v>1.843313</v>
      </c>
      <c r="H251">
        <f t="shared" si="24"/>
        <v>48632.8125</v>
      </c>
      <c r="I251" s="4">
        <f t="shared" si="30"/>
        <v>-4.8215443719196838E-2</v>
      </c>
      <c r="J251" s="4">
        <f t="shared" si="31"/>
        <v>-0.2160675734104418</v>
      </c>
      <c r="K251" s="4">
        <f t="shared" si="25"/>
        <v>-0.17635517258983963</v>
      </c>
      <c r="L251">
        <f t="shared" si="26"/>
        <v>4.86328125</v>
      </c>
      <c r="M251" s="4">
        <f t="shared" si="27"/>
        <v>2.948271807228911E-2</v>
      </c>
      <c r="N251" s="4">
        <f t="shared" si="28"/>
        <v>2.2533294779116451E-2</v>
      </c>
      <c r="O251" s="4">
        <f t="shared" si="29"/>
        <v>-6.750403062797874E-3</v>
      </c>
    </row>
    <row r="252" spans="1:15" x14ac:dyDescent="0.3">
      <c r="A252">
        <v>250</v>
      </c>
      <c r="B252">
        <v>5.0265810000000002</v>
      </c>
      <c r="C252">
        <v>4.9927400000000004</v>
      </c>
      <c r="D252">
        <v>46476.019676999997</v>
      </c>
      <c r="E252">
        <v>38309.777021000002</v>
      </c>
      <c r="F252">
        <v>2.048</v>
      </c>
      <c r="G252">
        <v>1.844563</v>
      </c>
      <c r="H252">
        <f t="shared" si="24"/>
        <v>48828.125</v>
      </c>
      <c r="I252" s="4">
        <f t="shared" si="30"/>
        <v>-4.8171117015040073E-2</v>
      </c>
      <c r="J252" s="4">
        <f t="shared" si="31"/>
        <v>-0.21541576660991996</v>
      </c>
      <c r="K252" s="4">
        <f t="shared" si="25"/>
        <v>-0.17570873566096917</v>
      </c>
      <c r="L252">
        <f t="shared" si="26"/>
        <v>4.8828125</v>
      </c>
      <c r="M252" s="4">
        <f t="shared" si="27"/>
        <v>2.9443788800000037E-2</v>
      </c>
      <c r="N252" s="4">
        <f t="shared" si="28"/>
        <v>2.2513152000000081E-2</v>
      </c>
      <c r="O252" s="4">
        <f t="shared" si="29"/>
        <v>-6.7324091663895974E-3</v>
      </c>
    </row>
    <row r="253" spans="1:15" x14ac:dyDescent="0.3">
      <c r="A253">
        <v>251</v>
      </c>
      <c r="B253">
        <v>5.0464529999999996</v>
      </c>
      <c r="C253">
        <v>5.0130970000000001</v>
      </c>
      <c r="D253">
        <v>46663.997452000003</v>
      </c>
      <c r="E253">
        <v>38495.803095000003</v>
      </c>
      <c r="F253">
        <v>2.048</v>
      </c>
      <c r="G253">
        <v>1.8459380000000001</v>
      </c>
      <c r="H253">
        <f t="shared" si="24"/>
        <v>49023.4375</v>
      </c>
      <c r="I253" s="4">
        <f t="shared" si="30"/>
        <v>-4.8128816915378417E-2</v>
      </c>
      <c r="J253" s="4">
        <f t="shared" si="31"/>
        <v>-0.21474696475537844</v>
      </c>
      <c r="K253" s="4">
        <f t="shared" si="25"/>
        <v>-0.17504274822151814</v>
      </c>
      <c r="L253">
        <f t="shared" si="26"/>
        <v>4.90234375</v>
      </c>
      <c r="M253" s="4">
        <f t="shared" si="27"/>
        <v>2.9395990438246936E-2</v>
      </c>
      <c r="N253" s="4">
        <f t="shared" si="28"/>
        <v>2.2591898007968157E-2</v>
      </c>
      <c r="O253" s="4">
        <f t="shared" si="29"/>
        <v>-6.6097910750381504E-3</v>
      </c>
    </row>
    <row r="254" spans="1:15" x14ac:dyDescent="0.3">
      <c r="A254">
        <v>252</v>
      </c>
      <c r="B254">
        <v>5.0668110000000004</v>
      </c>
      <c r="C254">
        <v>5.0332340000000002</v>
      </c>
      <c r="D254">
        <v>46891.209585999997</v>
      </c>
      <c r="E254">
        <v>38721.479864000001</v>
      </c>
      <c r="F254">
        <v>2.048</v>
      </c>
      <c r="G254">
        <v>1.8474999999999999</v>
      </c>
      <c r="H254">
        <f t="shared" si="24"/>
        <v>49218.75</v>
      </c>
      <c r="I254" s="4">
        <f t="shared" si="30"/>
        <v>-4.7289709998730216E-2</v>
      </c>
      <c r="J254" s="4">
        <f t="shared" si="31"/>
        <v>-0.21327786942984125</v>
      </c>
      <c r="K254" s="4">
        <f t="shared" si="25"/>
        <v>-0.17422731881156633</v>
      </c>
      <c r="L254">
        <f t="shared" si="26"/>
        <v>4.921875</v>
      </c>
      <c r="M254" s="4">
        <f t="shared" si="27"/>
        <v>2.9447314285714368E-2</v>
      </c>
      <c r="N254" s="4">
        <f t="shared" si="28"/>
        <v>2.2625320634920676E-2</v>
      </c>
      <c r="O254" s="4">
        <f t="shared" si="29"/>
        <v>-6.6268506956348259E-3</v>
      </c>
    </row>
    <row r="255" spans="1:15" x14ac:dyDescent="0.3">
      <c r="A255">
        <v>253</v>
      </c>
      <c r="B255">
        <v>5.0869479999999996</v>
      </c>
      <c r="C255">
        <v>5.0534590000000001</v>
      </c>
      <c r="D255">
        <v>47118.421719999998</v>
      </c>
      <c r="E255">
        <v>38947.156633999999</v>
      </c>
      <c r="F255">
        <v>2.048</v>
      </c>
      <c r="G255">
        <v>1.8488119999999999</v>
      </c>
      <c r="H255">
        <f t="shared" si="24"/>
        <v>49414.0625</v>
      </c>
      <c r="I255" s="4">
        <f t="shared" si="30"/>
        <v>-4.6457236338339952E-2</v>
      </c>
      <c r="J255" s="4">
        <f t="shared" si="31"/>
        <v>-0.21182038748584983</v>
      </c>
      <c r="K255" s="4">
        <f t="shared" si="25"/>
        <v>-0.17341975362752027</v>
      </c>
      <c r="L255">
        <f t="shared" si="26"/>
        <v>4.94140625</v>
      </c>
      <c r="M255" s="4">
        <f t="shared" si="27"/>
        <v>2.9453508300395174E-2</v>
      </c>
      <c r="N255" s="4">
        <f t="shared" si="28"/>
        <v>2.2676287747035603E-2</v>
      </c>
      <c r="O255" s="4">
        <f t="shared" si="29"/>
        <v>-6.5833187207731316E-3</v>
      </c>
    </row>
    <row r="256" spans="1:15" x14ac:dyDescent="0.3">
      <c r="A256">
        <v>254</v>
      </c>
      <c r="B256">
        <v>5.1071289999999996</v>
      </c>
      <c r="C256">
        <v>5.0735520000000003</v>
      </c>
      <c r="D256">
        <v>47345.633854</v>
      </c>
      <c r="E256">
        <v>39172.833403999997</v>
      </c>
      <c r="F256">
        <v>2.048</v>
      </c>
      <c r="G256">
        <v>1.85</v>
      </c>
      <c r="H256">
        <f t="shared" si="24"/>
        <v>49609.375</v>
      </c>
      <c r="I256" s="4">
        <f t="shared" si="30"/>
        <v>-4.5631317588661423E-2</v>
      </c>
      <c r="J256" s="4">
        <f t="shared" si="31"/>
        <v>-0.21037438177763784</v>
      </c>
      <c r="K256" s="4">
        <f t="shared" si="25"/>
        <v>-0.17261993946902293</v>
      </c>
      <c r="L256">
        <f t="shared" si="26"/>
        <v>4.9609375</v>
      </c>
      <c r="M256" s="4">
        <f t="shared" si="27"/>
        <v>2.9468522834645586E-2</v>
      </c>
      <c r="N256" s="4">
        <f t="shared" si="28"/>
        <v>2.2700245669291397E-2</v>
      </c>
      <c r="O256" s="4">
        <f t="shared" si="29"/>
        <v>-6.5745353211166795E-3</v>
      </c>
    </row>
    <row r="257" spans="1:15" x14ac:dyDescent="0.3">
      <c r="A257">
        <v>255</v>
      </c>
      <c r="B257">
        <v>5.1272659999999997</v>
      </c>
      <c r="C257">
        <v>5.0935569999999997</v>
      </c>
      <c r="D257">
        <v>47572.845988000001</v>
      </c>
      <c r="E257">
        <v>39398.510173000002</v>
      </c>
      <c r="F257">
        <v>2.048</v>
      </c>
      <c r="G257">
        <v>1.851375</v>
      </c>
      <c r="H257">
        <f t="shared" si="24"/>
        <v>49804.6875</v>
      </c>
      <c r="I257" s="4">
        <f t="shared" si="30"/>
        <v>-4.4811876633098019E-2</v>
      </c>
      <c r="J257" s="4">
        <f t="shared" si="31"/>
        <v>-0.20893971731074504</v>
      </c>
      <c r="K257" s="4">
        <f t="shared" si="25"/>
        <v>-0.17182776529833704</v>
      </c>
      <c r="L257">
        <f t="shared" si="26"/>
        <v>4.98046875</v>
      </c>
      <c r="M257" s="4">
        <f t="shared" si="27"/>
        <v>2.9474585098039147E-2</v>
      </c>
      <c r="N257" s="4">
        <f t="shared" si="28"/>
        <v>2.2706346666666599E-2</v>
      </c>
      <c r="O257" s="4">
        <f t="shared" si="29"/>
        <v>-6.5744589806731287E-3</v>
      </c>
    </row>
    <row r="258" spans="1:15" x14ac:dyDescent="0.3">
      <c r="A258">
        <v>256</v>
      </c>
      <c r="B258">
        <v>5.1474469999999997</v>
      </c>
      <c r="C258">
        <v>5.1136059999999999</v>
      </c>
      <c r="D258">
        <v>47800.058123000003</v>
      </c>
      <c r="E258">
        <v>39624.186943000001</v>
      </c>
      <c r="F258">
        <v>2.048</v>
      </c>
      <c r="G258">
        <v>1.852625</v>
      </c>
      <c r="H258">
        <f t="shared" si="24"/>
        <v>50000</v>
      </c>
      <c r="I258" s="4">
        <f t="shared" si="30"/>
        <v>-4.3998837539999947E-2</v>
      </c>
      <c r="J258" s="4">
        <f t="shared" si="31"/>
        <v>-0.20751626113999999</v>
      </c>
      <c r="K258" s="4">
        <f t="shared" si="25"/>
        <v>-0.17104312214352746</v>
      </c>
      <c r="L258">
        <f t="shared" si="26"/>
        <v>5</v>
      </c>
      <c r="M258" s="4">
        <f t="shared" si="27"/>
        <v>2.9489399999999933E-2</v>
      </c>
      <c r="N258" s="4">
        <f t="shared" si="28"/>
        <v>2.2721199999999976E-2</v>
      </c>
      <c r="O258" s="4">
        <f t="shared" si="29"/>
        <v>-6.5743270401812373E-3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A122-840A-4C25-B1F1-7BE53CCE0524}">
  <dimension ref="A1:B7"/>
  <sheetViews>
    <sheetView workbookViewId="0">
      <selection activeCell="A8" sqref="A8"/>
    </sheetView>
  </sheetViews>
  <sheetFormatPr defaultRowHeight="14.4" x14ac:dyDescent="0.3"/>
  <cols>
    <col min="1" max="1" width="34.5546875" bestFit="1" customWidth="1"/>
  </cols>
  <sheetData>
    <row r="1" spans="1:2" x14ac:dyDescent="0.3">
      <c r="A1" t="s">
        <v>9</v>
      </c>
      <c r="B1" t="s">
        <v>7</v>
      </c>
    </row>
    <row r="3" spans="1:2" x14ac:dyDescent="0.3">
      <c r="A3">
        <v>2.5103040000000001</v>
      </c>
      <c r="B3">
        <v>7</v>
      </c>
    </row>
    <row r="4" spans="1:2" x14ac:dyDescent="0.3">
      <c r="A4">
        <v>2.0964680000000002</v>
      </c>
      <c r="B4">
        <v>4</v>
      </c>
    </row>
    <row r="7" spans="1:2" x14ac:dyDescent="0.3">
      <c r="A7">
        <v>2.1123509999999999</v>
      </c>
      <c r="B7">
        <f>7.2492*A7-11.198</f>
        <v>4.1148548691999984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6590-7759-4757-AFA2-0027578BE4A1}">
  <dimension ref="A1:M13"/>
  <sheetViews>
    <sheetView tabSelected="1" workbookViewId="0">
      <selection activeCell="A14" sqref="A14"/>
    </sheetView>
  </sheetViews>
  <sheetFormatPr defaultRowHeight="14.4" x14ac:dyDescent="0.3"/>
  <cols>
    <col min="1" max="1" width="17.88671875" bestFit="1" customWidth="1"/>
    <col min="2" max="2" width="16.33203125" bestFit="1" customWidth="1"/>
    <col min="3" max="3" width="29.5546875" bestFit="1" customWidth="1"/>
    <col min="4" max="4" width="8.109375" bestFit="1" customWidth="1"/>
    <col min="5" max="6" width="25" customWidth="1"/>
  </cols>
  <sheetData>
    <row r="1" spans="1:13" x14ac:dyDescent="0.3">
      <c r="A1" t="s">
        <v>10</v>
      </c>
      <c r="B1" t="s">
        <v>8</v>
      </c>
      <c r="C1" t="s">
        <v>11</v>
      </c>
      <c r="D1" t="s">
        <v>24</v>
      </c>
      <c r="E1" t="s">
        <v>14</v>
      </c>
      <c r="F1" t="s">
        <v>15</v>
      </c>
      <c r="G1" t="s">
        <v>42</v>
      </c>
      <c r="H1" t="s">
        <v>43</v>
      </c>
      <c r="I1" t="s">
        <v>24</v>
      </c>
    </row>
    <row r="2" spans="1:13" x14ac:dyDescent="0.3">
      <c r="A2">
        <v>3.5</v>
      </c>
      <c r="B2">
        <v>0.108385</v>
      </c>
      <c r="C2" s="2">
        <f>(-$M$2 + SQRT(POWER($M$2, 2)-((4*$M$3)*(1 - ((47*B2)/(5-B2))))))/(2*$M$3)</f>
        <v>10.607748888797541</v>
      </c>
      <c r="D2" s="4">
        <f>ABS((C2-A2)/A2)</f>
        <v>2.0307853967992977</v>
      </c>
      <c r="E2" s="3">
        <v>0.10556</v>
      </c>
      <c r="F2" s="3">
        <f>B2-E2</f>
        <v>2.8249999999999942E-3</v>
      </c>
      <c r="G2" s="3">
        <f>B2+$M$4</f>
        <v>0.10528499999999999</v>
      </c>
      <c r="H2" s="2">
        <f>(-$M$2 + SQRT(POWER($M$2, 2)-((4*$M$3)*(1 - ((47*G2)/(5-G2))))))/(2*$M$3)</f>
        <v>2.8072260722451223</v>
      </c>
      <c r="I2" s="4">
        <f>ABS((H2-A2)/A2)</f>
        <v>0.19793540792996506</v>
      </c>
      <c r="L2" t="s">
        <v>12</v>
      </c>
      <c r="M2" s="1">
        <v>3.9083E-3</v>
      </c>
    </row>
    <row r="3" spans="1:13" x14ac:dyDescent="0.3">
      <c r="A3">
        <v>20.7</v>
      </c>
      <c r="B3" s="3">
        <v>0.115837</v>
      </c>
      <c r="C3" s="2">
        <f>(-$M$2 + SQRT(POWER($M$2, 2)-((4*$M$3)*(1 - ((47*B3)/(5-B3))))))/(2*$M$3)</f>
        <v>29.474199419494305</v>
      </c>
      <c r="D3" s="4">
        <f>ABS((C3-A3)/A3)</f>
        <v>0.42387436809151235</v>
      </c>
      <c r="E3" s="3">
        <v>0.11237999999999999</v>
      </c>
      <c r="F3" s="3">
        <f>B3-E3</f>
        <v>3.4570000000000017E-3</v>
      </c>
      <c r="G3" s="3">
        <f>B3+$M$4</f>
        <v>0.11273699999999999</v>
      </c>
      <c r="H3" s="2">
        <f>(-$M$2 + SQRT(POWER($M$2, 2)-((4*$M$3)*(1 - ((47*G3)/(5-G3))))))/(2*$M$3)</f>
        <v>21.605985195096334</v>
      </c>
      <c r="I3" s="4">
        <f>ABS((H3-A3)/A3)</f>
        <v>4.3767400729291542E-2</v>
      </c>
      <c r="L3" t="s">
        <v>13</v>
      </c>
      <c r="M3" s="1">
        <v>-5.7749999999999998E-7</v>
      </c>
    </row>
    <row r="4" spans="1:13" x14ac:dyDescent="0.3">
      <c r="A4">
        <v>94.4</v>
      </c>
      <c r="B4">
        <v>0.14493400000000001</v>
      </c>
      <c r="C4" s="2">
        <f>(-$M$2 + SQRT(POWER($M$2, 2)-((4*$M$3)*(1 - ((47*B4)/(5-B4))))))/(2*$M$3)</f>
        <v>104.74782049961824</v>
      </c>
      <c r="D4" s="4">
        <f t="shared" ref="D4" si="0">ABS((C4-A4)/A4)</f>
        <v>0.10961674258070166</v>
      </c>
      <c r="E4">
        <v>0.14099500000000001</v>
      </c>
      <c r="F4" s="3">
        <f>B4-E4</f>
        <v>3.9389999999999981E-3</v>
      </c>
      <c r="G4" s="3">
        <f t="shared" ref="G4" si="1">B4+$M$4</f>
        <v>0.14183400000000002</v>
      </c>
      <c r="H4" s="2">
        <f t="shared" ref="H4" si="2">(-$M$2 + SQRT(POWER($M$2, 2)-((4*$M$3)*(1 - ((47*G4)/(5-G4))))))/(2*$M$3)</f>
        <v>96.602813769209789</v>
      </c>
      <c r="I4" s="4">
        <f t="shared" ref="I4" si="3">ABS((H4-A4)/A4)</f>
        <v>2.3334891622984986E-2</v>
      </c>
      <c r="L4" t="s">
        <v>44</v>
      </c>
      <c r="M4">
        <v>-3.0999999999999999E-3</v>
      </c>
    </row>
    <row r="5" spans="1:13" x14ac:dyDescent="0.3">
      <c r="C5" s="2"/>
      <c r="D5" s="2"/>
    </row>
    <row r="7" spans="1:13" x14ac:dyDescent="0.3">
      <c r="A7">
        <v>15.5</v>
      </c>
      <c r="B7">
        <v>0.111541</v>
      </c>
    </row>
    <row r="8" spans="1:13" x14ac:dyDescent="0.3">
      <c r="A8">
        <v>36</v>
      </c>
      <c r="B8">
        <v>0.119296</v>
      </c>
    </row>
    <row r="9" spans="1:13" x14ac:dyDescent="0.3">
      <c r="A9">
        <v>53.5</v>
      </c>
      <c r="B9">
        <v>0.12665299999999999</v>
      </c>
    </row>
    <row r="12" spans="1:13" x14ac:dyDescent="0.3">
      <c r="A12" t="s">
        <v>47</v>
      </c>
      <c r="B12" t="s">
        <v>48</v>
      </c>
    </row>
    <row r="13" spans="1:13" x14ac:dyDescent="0.3">
      <c r="A13">
        <v>0.11951100000000001</v>
      </c>
      <c r="B13">
        <f>2515.7*A13-264.78</f>
        <v>35.873822700000005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2A2F-9BA0-4F8A-B7A2-77B4E4830BDC}">
  <dimension ref="A1:B7"/>
  <sheetViews>
    <sheetView workbookViewId="0">
      <selection activeCell="C13" sqref="C13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45</v>
      </c>
      <c r="B1" t="s">
        <v>46</v>
      </c>
    </row>
    <row r="2" spans="1:2" x14ac:dyDescent="0.3">
      <c r="A2">
        <v>0.2</v>
      </c>
      <c r="B2">
        <v>4.1188000000000002</v>
      </c>
    </row>
    <row r="3" spans="1:2" x14ac:dyDescent="0.3">
      <c r="A3">
        <v>7</v>
      </c>
      <c r="B3">
        <v>4.1154000000000002</v>
      </c>
    </row>
    <row r="4" spans="1:2" x14ac:dyDescent="0.3">
      <c r="A4">
        <v>27</v>
      </c>
      <c r="B4">
        <v>4.0922000000000001</v>
      </c>
    </row>
    <row r="5" spans="1:2" x14ac:dyDescent="0.3">
      <c r="A5">
        <v>60</v>
      </c>
      <c r="B5">
        <v>4.0467000000000004</v>
      </c>
    </row>
    <row r="6" spans="1:2" x14ac:dyDescent="0.3">
      <c r="A6">
        <v>140</v>
      </c>
      <c r="B6">
        <v>3.9956999999999998</v>
      </c>
    </row>
    <row r="7" spans="1:2" x14ac:dyDescent="0.3">
      <c r="A7">
        <v>330</v>
      </c>
      <c r="B7">
        <v>3.9001999999999999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49BC-DA7D-4E15-856E-0A28BE7739A7}">
  <dimension ref="A1:G36"/>
  <sheetViews>
    <sheetView topLeftCell="A16" workbookViewId="0">
      <selection activeCell="C20" sqref="C20"/>
    </sheetView>
  </sheetViews>
  <sheetFormatPr defaultRowHeight="14.4" x14ac:dyDescent="0.3"/>
  <cols>
    <col min="1" max="1" width="12.21875" customWidth="1"/>
    <col min="2" max="2" width="14.33203125" customWidth="1"/>
    <col min="3" max="3" width="36.88671875" customWidth="1"/>
    <col min="4" max="4" width="7.44140625" customWidth="1"/>
    <col min="5" max="5" width="25.33203125" customWidth="1"/>
    <col min="6" max="6" width="7.21875" customWidth="1"/>
    <col min="7" max="7" width="31.77734375" customWidth="1"/>
    <col min="8" max="8" width="36.5546875" customWidth="1"/>
    <col min="9" max="9" width="7.33203125" customWidth="1"/>
    <col min="10" max="10" width="24.88671875" bestFit="1" customWidth="1"/>
  </cols>
  <sheetData>
    <row r="1" spans="1:6" x14ac:dyDescent="0.3">
      <c r="A1" s="7" t="s">
        <v>29</v>
      </c>
      <c r="B1" s="8" t="s">
        <v>39</v>
      </c>
      <c r="C1" s="8" t="s">
        <v>34</v>
      </c>
      <c r="D1" s="8" t="s">
        <v>24</v>
      </c>
      <c r="E1" s="8" t="s">
        <v>26</v>
      </c>
      <c r="F1" s="8" t="s">
        <v>24</v>
      </c>
    </row>
    <row r="2" spans="1:6" x14ac:dyDescent="0.3">
      <c r="A2" s="10">
        <v>0.10727</v>
      </c>
      <c r="B2" s="11">
        <v>12</v>
      </c>
      <c r="C2" s="11">
        <v>10.64</v>
      </c>
      <c r="D2" s="12">
        <f>ABS(('SDIA Testing'!$C2-'SDIA Testing'!$B2)/'SDIA Testing'!$B2)</f>
        <v>0.11333333333333329</v>
      </c>
      <c r="E2" s="11">
        <v>12.030886000000001</v>
      </c>
      <c r="F2" s="12">
        <f>ABS(('SDIA Testing'!$E2-'SDIA Testing'!$B2)/'SDIA Testing'!$B2)</f>
        <v>2.5738333333333863E-3</v>
      </c>
    </row>
    <row r="3" spans="1:6" x14ac:dyDescent="0.3">
      <c r="A3" s="15">
        <v>0.40825</v>
      </c>
      <c r="B3" s="16">
        <v>4</v>
      </c>
      <c r="C3" s="16">
        <v>3.95</v>
      </c>
      <c r="D3" s="17">
        <f>ABS(('SDIA Testing'!$C3-'SDIA Testing'!$B3)/'SDIA Testing'!$B3)</f>
        <v>1.2499999999999956E-2</v>
      </c>
      <c r="E3" s="16">
        <v>4.0001049999999996</v>
      </c>
      <c r="F3" s="17">
        <f>ABS(('SDIA Testing'!$E3-'SDIA Testing'!$B3)/'SDIA Testing'!$B3)</f>
        <v>2.6249999999894413E-5</v>
      </c>
    </row>
    <row r="4" spans="1:6" x14ac:dyDescent="0.3">
      <c r="A4" s="10">
        <v>0.79959999999999998</v>
      </c>
      <c r="B4" s="11">
        <v>2</v>
      </c>
      <c r="C4" s="11">
        <v>2.0099999999999998</v>
      </c>
      <c r="D4" s="12">
        <f>ABS(('SDIA Testing'!$C4-'SDIA Testing'!$B4)/'SDIA Testing'!$B4)</f>
        <v>4.9999999999998934E-3</v>
      </c>
      <c r="E4" s="11">
        <v>2.0000369999999998</v>
      </c>
      <c r="F4" s="12">
        <f>ABS(('SDIA Testing'!$E4-'SDIA Testing'!$B4)/'SDIA Testing'!$B4)</f>
        <v>1.8499999999921357E-5</v>
      </c>
    </row>
    <row r="5" spans="1:6" x14ac:dyDescent="0.3">
      <c r="A5" s="15">
        <v>1.20286</v>
      </c>
      <c r="B5" s="16">
        <v>3.5</v>
      </c>
      <c r="C5" s="16">
        <v>3.4689999999999999</v>
      </c>
      <c r="D5" s="17">
        <f>ABS(('SDIA Testing'!$C5-'SDIA Testing'!$B5)/'SDIA Testing'!$B5)</f>
        <v>8.8571428571428967E-3</v>
      </c>
      <c r="E5" s="16">
        <v>3.49919</v>
      </c>
      <c r="F5" s="17">
        <f>ABS(('SDIA Testing'!$E5-'SDIA Testing'!$B5)/'SDIA Testing'!$B5)</f>
        <v>2.3142857142856497E-4</v>
      </c>
    </row>
    <row r="6" spans="1:6" x14ac:dyDescent="0.3">
      <c r="A6" s="10">
        <v>1.5077</v>
      </c>
      <c r="B6" s="11">
        <v>3</v>
      </c>
      <c r="C6" s="11">
        <v>3.0022000000000002</v>
      </c>
      <c r="D6" s="12">
        <f>ABS(('SDIA Testing'!$C6-'SDIA Testing'!$B6)/'SDIA Testing'!$B6)</f>
        <v>7.3333333333340056E-4</v>
      </c>
      <c r="E6" s="11">
        <v>2.9996200000000002</v>
      </c>
      <c r="F6" s="12">
        <f>ABS(('SDIA Testing'!$E6-'SDIA Testing'!$B6)/'SDIA Testing'!$B6)</f>
        <v>1.2666666666660831E-4</v>
      </c>
    </row>
    <row r="7" spans="1:6" x14ac:dyDescent="0.3">
      <c r="A7" s="15">
        <v>1.8005</v>
      </c>
      <c r="B7" s="16">
        <v>5</v>
      </c>
      <c r="C7" s="16">
        <v>4.9359999999999999</v>
      </c>
      <c r="D7" s="17">
        <f>ABS(('SDIA Testing'!$C7-'SDIA Testing'!$B7)/'SDIA Testing'!$B7)</f>
        <v>1.2800000000000011E-2</v>
      </c>
      <c r="E7" s="16">
        <v>4.998462</v>
      </c>
      <c r="F7" s="17">
        <f>ABS(('SDIA Testing'!$E7-'SDIA Testing'!$B7)/'SDIA Testing'!$B7)</f>
        <v>3.0760000000000786E-4</v>
      </c>
    </row>
    <row r="8" spans="1:6" x14ac:dyDescent="0.3">
      <c r="A8" s="5">
        <v>2.0094799999999999</v>
      </c>
      <c r="B8" s="6">
        <v>2.5</v>
      </c>
      <c r="C8" s="6">
        <v>2.5129999999999999</v>
      </c>
      <c r="D8" s="23">
        <f>ABS(('SDIA Testing'!$C8-'SDIA Testing'!$B8)/'SDIA Testing'!$B8)</f>
        <v>5.1999999999999599E-3</v>
      </c>
      <c r="E8" s="6">
        <v>2.5002170000000001</v>
      </c>
      <c r="F8" s="23">
        <f>ABS(('SDIA Testing'!$E8-'SDIA Testing'!$B8)/'SDIA Testing'!$B8)</f>
        <v>8.6800000000053501E-5</v>
      </c>
    </row>
    <row r="10" spans="1:6" x14ac:dyDescent="0.3">
      <c r="A10" s="7" t="s">
        <v>29</v>
      </c>
      <c r="B10" s="8" t="s">
        <v>40</v>
      </c>
      <c r="C10" s="8" t="s">
        <v>35</v>
      </c>
      <c r="D10" s="8" t="s">
        <v>24</v>
      </c>
      <c r="E10" s="8" t="s">
        <v>27</v>
      </c>
      <c r="F10" s="9" t="s">
        <v>24</v>
      </c>
    </row>
    <row r="11" spans="1:6" x14ac:dyDescent="0.3">
      <c r="A11" s="10">
        <v>0.10727</v>
      </c>
      <c r="B11" s="11">
        <v>0</v>
      </c>
      <c r="C11" s="11">
        <v>2.512E-5</v>
      </c>
      <c r="D11" s="13" t="s">
        <v>33</v>
      </c>
      <c r="E11" s="11">
        <v>2.5119999999999999E-3</v>
      </c>
      <c r="F11" s="14" t="s">
        <v>33</v>
      </c>
    </row>
    <row r="12" spans="1:6" x14ac:dyDescent="0.3">
      <c r="A12" s="15">
        <v>0.40825</v>
      </c>
      <c r="B12" s="16">
        <v>0</v>
      </c>
      <c r="C12" s="16">
        <v>2.512E-5</v>
      </c>
      <c r="D12" s="18" t="s">
        <v>33</v>
      </c>
      <c r="E12" s="16">
        <v>2.5119999999999999E-3</v>
      </c>
      <c r="F12" s="19" t="s">
        <v>33</v>
      </c>
    </row>
    <row r="13" spans="1:6" x14ac:dyDescent="0.3">
      <c r="A13" s="10">
        <v>0.79959999999999998</v>
      </c>
      <c r="B13" s="11">
        <v>0</v>
      </c>
      <c r="C13" s="11">
        <v>2.512E-5</v>
      </c>
      <c r="D13" s="13" t="s">
        <v>33</v>
      </c>
      <c r="E13" s="11">
        <v>2.5119999999999999E-3</v>
      </c>
      <c r="F13" s="20" t="s">
        <v>33</v>
      </c>
    </row>
    <row r="14" spans="1:6" x14ac:dyDescent="0.3">
      <c r="A14" s="15">
        <v>1.20286</v>
      </c>
      <c r="B14" s="16">
        <v>-1</v>
      </c>
      <c r="C14" s="16">
        <v>-0.97699999999999998</v>
      </c>
      <c r="D14" s="17">
        <f>ABS(('SDIA Testing'!$C14-'SDIA Testing'!$B14)/'SDIA Testing'!$B14)</f>
        <v>2.300000000000002E-2</v>
      </c>
      <c r="E14" s="16">
        <v>-0.99486399999999997</v>
      </c>
      <c r="F14" s="21">
        <f>ABS(('SDIA Testing'!$E14-'SDIA Testing'!$B14)/'SDIA Testing'!$B14)</f>
        <v>5.1360000000000294E-3</v>
      </c>
    </row>
    <row r="15" spans="1:6" x14ac:dyDescent="0.3">
      <c r="A15" s="10">
        <v>1.5077</v>
      </c>
      <c r="B15" s="11">
        <v>-1</v>
      </c>
      <c r="C15" s="11">
        <v>-0.97699999999999998</v>
      </c>
      <c r="D15" s="12">
        <f>ABS(('SDIA Testing'!$C15-'SDIA Testing'!$B15)/'SDIA Testing'!$B15)</f>
        <v>2.300000000000002E-2</v>
      </c>
      <c r="E15" s="11">
        <v>-0.99486399999999997</v>
      </c>
      <c r="F15" s="22">
        <f>ABS(('SDIA Testing'!$E15-'SDIA Testing'!$B15)/'SDIA Testing'!$B15)</f>
        <v>5.1360000000000294E-3</v>
      </c>
    </row>
    <row r="16" spans="1:6" x14ac:dyDescent="0.3">
      <c r="A16" s="15">
        <v>1.8005</v>
      </c>
      <c r="B16" s="16">
        <v>-1.5</v>
      </c>
      <c r="C16" s="16">
        <v>-1.534</v>
      </c>
      <c r="D16" s="17">
        <f>ABS(('SDIA Testing'!$C16-'SDIA Testing'!$B16)/'SDIA Testing'!$B16)</f>
        <v>2.2666666666666686E-2</v>
      </c>
      <c r="E16" s="16">
        <v>-1.492605</v>
      </c>
      <c r="F16" s="21">
        <f>ABS(('SDIA Testing'!$E16-'SDIA Testing'!$B16)/'SDIA Testing'!$B16)</f>
        <v>4.9300000000000272E-3</v>
      </c>
    </row>
    <row r="17" spans="1:7" x14ac:dyDescent="0.3">
      <c r="A17" s="5">
        <v>2.0094799999999999</v>
      </c>
      <c r="B17" s="6">
        <v>-1.5</v>
      </c>
      <c r="C17" s="6">
        <v>-1.534</v>
      </c>
      <c r="D17" s="23">
        <f>ABS(('SDIA Testing'!$C17-'SDIA Testing'!$B17)/'SDIA Testing'!$B17)</f>
        <v>2.2666666666666686E-2</v>
      </c>
      <c r="E17" s="6">
        <v>-1.492605</v>
      </c>
      <c r="F17" s="24">
        <f>ABS(('SDIA Testing'!$E17-'SDIA Testing'!$B17)/'SDIA Testing'!$B17)</f>
        <v>4.9300000000000272E-3</v>
      </c>
    </row>
    <row r="19" spans="1:7" x14ac:dyDescent="0.3">
      <c r="A19" s="7" t="s">
        <v>29</v>
      </c>
      <c r="B19" s="8" t="s">
        <v>28</v>
      </c>
      <c r="C19" s="8" t="s">
        <v>30</v>
      </c>
      <c r="D19" s="8" t="s">
        <v>36</v>
      </c>
      <c r="E19" s="8" t="s">
        <v>41</v>
      </c>
      <c r="F19" s="8" t="s">
        <v>36</v>
      </c>
      <c r="G19" s="9" t="s">
        <v>37</v>
      </c>
    </row>
    <row r="20" spans="1:7" x14ac:dyDescent="0.3">
      <c r="A20" s="10">
        <f t="shared" ref="A20:A26" si="0">A2</f>
        <v>0.10727</v>
      </c>
      <c r="B20" s="11">
        <v>1.2</v>
      </c>
      <c r="C20" s="11">
        <v>1.4258120000000001</v>
      </c>
      <c r="D20" s="12">
        <f>ABS(('SDIA Testing'!$C20-'SDIA Testing'!$B20)/'SDIA Testing'!$B20)</f>
        <v>0.18817666666666677</v>
      </c>
      <c r="E20" s="11">
        <f>('SDIA Testing'!$A20+C11)*C2</f>
        <v>1.1416200768000002</v>
      </c>
      <c r="F20" s="12">
        <f>ABS(('SDIA Testing'!$E20-'SDIA Testing'!$B20)/'SDIA Testing'!$B20)</f>
        <v>4.8649935999999783E-2</v>
      </c>
      <c r="G20" s="22">
        <f>ABS(('SDIA Testing'!$E20-'SDIA Testing'!$C20)/'SDIA Testing'!$C20)</f>
        <v>0.19931935149935606</v>
      </c>
    </row>
    <row r="21" spans="1:7" x14ac:dyDescent="0.3">
      <c r="A21" s="15">
        <f t="shared" si="0"/>
        <v>0.40825</v>
      </c>
      <c r="B21" s="16">
        <v>1.6</v>
      </c>
      <c r="C21" s="16">
        <v>1.703875</v>
      </c>
      <c r="D21" s="17">
        <f>ABS(('SDIA Testing'!$C21-'SDIA Testing'!$B21)/'SDIA Testing'!$B21)</f>
        <v>6.4921874999999962E-2</v>
      </c>
      <c r="E21" s="16">
        <f>('SDIA Testing'!$A21+C12)*C3</f>
        <v>1.612686724</v>
      </c>
      <c r="F21" s="17">
        <f>ABS(('SDIA Testing'!$E21-'SDIA Testing'!$B21)/'SDIA Testing'!$B21)</f>
        <v>7.9292024999999544E-3</v>
      </c>
      <c r="G21" s="21">
        <f>ABS(('SDIA Testing'!$E21-'SDIA Testing'!$C21)/'SDIA Testing'!$C21)</f>
        <v>5.3518172401144454E-2</v>
      </c>
    </row>
    <row r="22" spans="1:7" x14ac:dyDescent="0.3">
      <c r="A22" s="10">
        <f t="shared" si="0"/>
        <v>0.79959999999999998</v>
      </c>
      <c r="B22" s="11">
        <v>1.6</v>
      </c>
      <c r="C22" s="11">
        <v>1.6020000000000001</v>
      </c>
      <c r="D22" s="12">
        <f>ABS(('SDIA Testing'!$C22-'SDIA Testing'!$B22)/'SDIA Testing'!$B22)</f>
        <v>1.2500000000000011E-3</v>
      </c>
      <c r="E22" s="11">
        <f>('SDIA Testing'!$A22+C13)*C4</f>
        <v>1.6072464911999997</v>
      </c>
      <c r="F22" s="12">
        <f>ABS(('SDIA Testing'!$E22-'SDIA Testing'!$B22)/'SDIA Testing'!$B22)</f>
        <v>4.529056999999781E-3</v>
      </c>
      <c r="G22" s="22">
        <f>ABS(('SDIA Testing'!$E22-'SDIA Testing'!$C22)/'SDIA Testing'!$C22)</f>
        <v>3.2749632958799296E-3</v>
      </c>
    </row>
    <row r="23" spans="1:7" x14ac:dyDescent="0.3">
      <c r="A23" s="15">
        <f t="shared" si="0"/>
        <v>1.20286</v>
      </c>
      <c r="B23" s="16">
        <v>0.7</v>
      </c>
      <c r="C23" s="16">
        <v>0.77749999999999997</v>
      </c>
      <c r="D23" s="17">
        <f>ABS(('SDIA Testing'!$C23-'SDIA Testing'!$B23)/'SDIA Testing'!$B23)</f>
        <v>0.11071428571428574</v>
      </c>
      <c r="E23" s="16">
        <f>('SDIA Testing'!$A23+C14)*C5</f>
        <v>0.78350834000000014</v>
      </c>
      <c r="F23" s="17">
        <f>ABS(('SDIA Testing'!$E23-'SDIA Testing'!$B23)/'SDIA Testing'!$B23)</f>
        <v>0.11929762857142884</v>
      </c>
      <c r="G23" s="21">
        <f>ABS(('SDIA Testing'!$E23-'SDIA Testing'!$C23)/'SDIA Testing'!$C23)</f>
        <v>7.7277684887461966E-3</v>
      </c>
    </row>
    <row r="24" spans="1:7" x14ac:dyDescent="0.3">
      <c r="A24" s="10">
        <f t="shared" si="0"/>
        <v>1.5077</v>
      </c>
      <c r="B24" s="11">
        <v>1.5</v>
      </c>
      <c r="C24" s="11">
        <v>1.598125</v>
      </c>
      <c r="D24" s="12">
        <f>ABS(('SDIA Testing'!$C24-'SDIA Testing'!$B24)/'SDIA Testing'!$B24)</f>
        <v>6.5416666666666679E-2</v>
      </c>
      <c r="E24" s="11">
        <f>('SDIA Testing'!$A24+C15)*C6</f>
        <v>1.5932675400000003</v>
      </c>
      <c r="F24" s="12">
        <f>ABS(('SDIA Testing'!$E24-'SDIA Testing'!$B24)/'SDIA Testing'!$B24)</f>
        <v>6.2178360000000175E-2</v>
      </c>
      <c r="G24" s="22">
        <f>ABS(('SDIA Testing'!$E24-'SDIA Testing'!$C24)/'SDIA Testing'!$C24)</f>
        <v>3.0394743840436501E-3</v>
      </c>
    </row>
    <row r="25" spans="1:7" x14ac:dyDescent="0.3">
      <c r="A25" s="15">
        <f t="shared" si="0"/>
        <v>1.8005</v>
      </c>
      <c r="B25" s="16">
        <v>1.5</v>
      </c>
      <c r="C25" s="16">
        <v>1.639438</v>
      </c>
      <c r="D25" s="17">
        <f>ABS(('SDIA Testing'!$C25-'SDIA Testing'!$B25)/'SDIA Testing'!$B25)</f>
        <v>9.2958666666666634E-2</v>
      </c>
      <c r="E25" s="16">
        <f>('SDIA Testing'!$A25+C16)*C7</f>
        <v>1.3154439999999998</v>
      </c>
      <c r="F25" s="17">
        <f>ABS(('SDIA Testing'!$E25-'SDIA Testing'!$B25)/'SDIA Testing'!$B25)</f>
        <v>0.12303733333333344</v>
      </c>
      <c r="G25" s="21">
        <f>ABS(('SDIA Testing'!$E25-'SDIA Testing'!$C25)/'SDIA Testing'!$C25)</f>
        <v>0.19762503980022431</v>
      </c>
    </row>
    <row r="26" spans="1:7" x14ac:dyDescent="0.3">
      <c r="A26" s="5">
        <f t="shared" si="0"/>
        <v>2.0094799999999999</v>
      </c>
      <c r="B26" s="6">
        <v>1.25</v>
      </c>
      <c r="C26" s="6">
        <v>1.3219380000000001</v>
      </c>
      <c r="D26" s="23">
        <f>ABS(('SDIA Testing'!$C26-'SDIA Testing'!$B26)/'SDIA Testing'!$B26)</f>
        <v>5.7550400000000043E-2</v>
      </c>
      <c r="E26" s="6">
        <f>('SDIA Testing'!$A26+C17)*C8</f>
        <v>1.1948812399999997</v>
      </c>
      <c r="F26" s="23">
        <f>ABS(('SDIA Testing'!$E26-'SDIA Testing'!$B26)/'SDIA Testing'!$B26)</f>
        <v>4.4095008000000213E-2</v>
      </c>
      <c r="G26" s="24">
        <f>ABS(('SDIA Testing'!$E26-'SDIA Testing'!$C26)/'SDIA Testing'!$C26)</f>
        <v>9.6114008372556292E-2</v>
      </c>
    </row>
    <row r="29" spans="1:7" x14ac:dyDescent="0.3">
      <c r="A29" s="7" t="s">
        <v>29</v>
      </c>
      <c r="B29" s="8" t="s">
        <v>32</v>
      </c>
      <c r="C29" s="8" t="s">
        <v>38</v>
      </c>
      <c r="D29" s="8" t="s">
        <v>25</v>
      </c>
      <c r="E29" s="8" t="s">
        <v>31</v>
      </c>
      <c r="F29" s="9" t="s">
        <v>25</v>
      </c>
    </row>
    <row r="30" spans="1:7" x14ac:dyDescent="0.3">
      <c r="A30" s="10">
        <f t="shared" ref="A30:A36" si="1">A2</f>
        <v>0.10727</v>
      </c>
      <c r="B30" s="11">
        <f t="shared" ref="B30:B36" si="2">C20</f>
        <v>1.4258120000000001</v>
      </c>
      <c r="C30" s="11">
        <f>('SDIA Testing'!$B30/C2)-C11</f>
        <v>0.13397976721804514</v>
      </c>
      <c r="D30" s="12">
        <f>ABS(('SDIA Testing'!$C30-'SDIA Testing'!$A30)/'SDIA Testing'!$A30)</f>
        <v>0.24899568582124668</v>
      </c>
      <c r="E30" s="11">
        <v>0.11463</v>
      </c>
      <c r="F30" s="22">
        <f>ABS(('SDIA Testing'!$E30-'SDIA Testing'!$A30)/'SDIA Testing'!$A30)</f>
        <v>6.8611913862216753E-2</v>
      </c>
    </row>
    <row r="31" spans="1:7" x14ac:dyDescent="0.3">
      <c r="A31" s="15">
        <f t="shared" si="1"/>
        <v>0.40825</v>
      </c>
      <c r="B31" s="16">
        <f t="shared" si="2"/>
        <v>1.703875</v>
      </c>
      <c r="C31" s="16">
        <f>('SDIA Testing'!$B31/C3)-C12</f>
        <v>0.43133563949367087</v>
      </c>
      <c r="D31" s="17">
        <f>ABS(('SDIA Testing'!$C31-'SDIA Testing'!$A31)/'SDIA Testing'!$A31)</f>
        <v>5.6547800351918857E-2</v>
      </c>
      <c r="E31" s="16">
        <v>0.419321</v>
      </c>
      <c r="F31" s="21">
        <f>ABS(('SDIA Testing'!$E31-'SDIA Testing'!$A31)/'SDIA Testing'!$A31)</f>
        <v>2.7118187385180643E-2</v>
      </c>
    </row>
    <row r="32" spans="1:7" x14ac:dyDescent="0.3">
      <c r="A32" s="10">
        <f t="shared" si="1"/>
        <v>0.79959999999999998</v>
      </c>
      <c r="B32" s="11">
        <f t="shared" si="2"/>
        <v>1.6020000000000001</v>
      </c>
      <c r="C32" s="11">
        <f>('SDIA Testing'!$B32/C4)-C13</f>
        <v>0.79698980537313446</v>
      </c>
      <c r="D32" s="12">
        <f>ABS(('SDIA Testing'!$C32-'SDIA Testing'!$A32)/'SDIA Testing'!$A32)</f>
        <v>3.2643754713175513E-3</v>
      </c>
      <c r="E32" s="11">
        <v>0.79022400000000004</v>
      </c>
      <c r="F32" s="22">
        <f>ABS(('SDIA Testing'!$E32-'SDIA Testing'!$A32)/'SDIA Testing'!$A32)</f>
        <v>1.1725862931465658E-2</v>
      </c>
    </row>
    <row r="33" spans="1:6" x14ac:dyDescent="0.3">
      <c r="A33" s="15">
        <f t="shared" si="1"/>
        <v>1.20286</v>
      </c>
      <c r="B33" s="16">
        <f t="shared" si="2"/>
        <v>0.77749999999999997</v>
      </c>
      <c r="C33" s="16">
        <f>('SDIA Testing'!$B33/C5)-C14</f>
        <v>1.2011279907754395</v>
      </c>
      <c r="D33" s="17">
        <f>ABS(('SDIA Testing'!$C33-'SDIA Testing'!$A33)/'SDIA Testing'!$A33)</f>
        <v>1.4399092367860895E-3</v>
      </c>
      <c r="E33" s="16">
        <v>1.2122980000000001</v>
      </c>
      <c r="F33" s="21">
        <f>ABS(('SDIA Testing'!$E33-'SDIA Testing'!$A33)/'SDIA Testing'!$A33)</f>
        <v>7.8462996524949341E-3</v>
      </c>
    </row>
    <row r="34" spans="1:6" x14ac:dyDescent="0.3">
      <c r="A34" s="10">
        <f t="shared" si="1"/>
        <v>1.5077</v>
      </c>
      <c r="B34" s="11">
        <f t="shared" si="2"/>
        <v>1.598125</v>
      </c>
      <c r="C34" s="11">
        <f>('SDIA Testing'!$B34/C6)-C15</f>
        <v>1.5093179668243288</v>
      </c>
      <c r="D34" s="12">
        <f>ABS(('SDIA Testing'!$C34-'SDIA Testing'!$A34)/'SDIA Testing'!$A34)</f>
        <v>1.0731357858518261E-3</v>
      </c>
      <c r="E34" s="11">
        <v>1.5221389999999999</v>
      </c>
      <c r="F34" s="22">
        <f>ABS(('SDIA Testing'!$E34-'SDIA Testing'!$A34)/'SDIA Testing'!$A34)</f>
        <v>9.5768388936790273E-3</v>
      </c>
    </row>
    <row r="35" spans="1:6" x14ac:dyDescent="0.3">
      <c r="A35" s="15">
        <f t="shared" si="1"/>
        <v>1.8005</v>
      </c>
      <c r="B35" s="16">
        <f t="shared" si="2"/>
        <v>1.639438</v>
      </c>
      <c r="C35" s="16">
        <f>('SDIA Testing'!$B35/C7)-C16</f>
        <v>1.866138978930308</v>
      </c>
      <c r="D35" s="17">
        <f>ABS(('SDIA Testing'!$C35-'SDIA Testing'!$A35)/'SDIA Testing'!$A35)</f>
        <v>3.6455972746630386E-2</v>
      </c>
      <c r="E35" s="16">
        <v>1.8172919999999999</v>
      </c>
      <c r="F35" s="21">
        <f>ABS(('SDIA Testing'!$E35-'SDIA Testing'!$A35)/'SDIA Testing'!$A35)</f>
        <v>9.3262982504859308E-3</v>
      </c>
    </row>
    <row r="36" spans="1:6" x14ac:dyDescent="0.3">
      <c r="A36" s="5">
        <f t="shared" si="1"/>
        <v>2.0094799999999999</v>
      </c>
      <c r="B36" s="6">
        <f t="shared" si="2"/>
        <v>1.3219380000000001</v>
      </c>
      <c r="C36" s="6">
        <f>('SDIA Testing'!$B36/C8)-C17</f>
        <v>2.0600397930760046</v>
      </c>
      <c r="D36" s="23">
        <f>ABS(('SDIA Testing'!$C36-'SDIA Testing'!$A36)/'SDIA Testing'!$A36)</f>
        <v>2.5160635127497992E-2</v>
      </c>
      <c r="E36" s="6">
        <v>2.0147349999999999</v>
      </c>
      <c r="F36" s="24">
        <f>ABS(('SDIA Testing'!$E36-'SDIA Testing'!$A36)/'SDIA Testing'!$A36)</f>
        <v>2.6151044051197373E-3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8</vt:i4>
      </vt:variant>
    </vt:vector>
  </HeadingPairs>
  <TitlesOfParts>
    <vt:vector size="13" baseType="lpstr">
      <vt:lpstr>sdia_profile</vt:lpstr>
      <vt:lpstr>pH_sen_profile</vt:lpstr>
      <vt:lpstr>RTD_Sen_Profile</vt:lpstr>
      <vt:lpstr>Turb_Sen_Profile</vt:lpstr>
      <vt:lpstr>SDIA Testing</vt:lpstr>
      <vt:lpstr>DC Offsets vs. Step</vt:lpstr>
      <vt:lpstr>DC Offsets Error</vt:lpstr>
      <vt:lpstr>Gain Resistance vs. Step</vt:lpstr>
      <vt:lpstr>Gain Resistor Error</vt:lpstr>
      <vt:lpstr>Output Reference DC Offset Volt</vt:lpstr>
      <vt:lpstr>pH Sensor Characteristic</vt:lpstr>
      <vt:lpstr>RTD Profile</vt:lpstr>
      <vt:lpstr>Turbidity_Sen_Profile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Sharp, Matthew Gregory</cp:lastModifiedBy>
  <dcterms:created xsi:type="dcterms:W3CDTF">2025-11-17T21:36:28Z</dcterms:created>
  <dcterms:modified xsi:type="dcterms:W3CDTF">2025-12-07T19:44:47Z</dcterms:modified>
</cp:coreProperties>
</file>