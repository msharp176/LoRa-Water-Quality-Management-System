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<sst xmlns="http://schemas.openxmlformats.org/spreadsheetml/2006/main" count="231" uniqueCount="208">
  <si>
    <t xml:space="preserve">Connectors</t>
  </si>
  <si>
    <t xml:space="preserve">Reference</t>
  </si>
  <si>
    <t xml:space="preserve">MFG P/N</t>
  </si>
  <si>
    <t xml:space="preserve">Qty/Board</t>
  </si>
  <si>
    <t xml:space="preserve">Unit Cost</t>
  </si>
  <si>
    <t xml:space="preserve">Ext. Cost</t>
  </si>
  <si>
    <t xml:space="preserve">Description</t>
  </si>
  <si>
    <t xml:space="preserve">Digikey Link</t>
  </si>
  <si>
    <t xml:space="preserve">J1,J4,J5</t>
  </si>
  <si>
    <t xml:space="preserve">OQ0332510000G</t>
  </si>
  <si>
    <t xml:space="preserve">3 Pin Connector, 3.81mm pitch</t>
  </si>
  <si>
    <t xml:space="preserve">https://www.digikey.com/en/products/detail/amphenol-anytek/OQ0332510000G/2261261</t>
  </si>
  <si>
    <t xml:space="preserve">J2</t>
  </si>
  <si>
    <t xml:space="preserve">OQ0232510000G</t>
  </si>
  <si>
    <t xml:space="preserve">2 Pin Connector, 3.81mm pitch</t>
  </si>
  <si>
    <t xml:space="preserve">https://www.digikey.com/en/products/detail/amphenol-anytek/OQ0232510000G/2261255</t>
  </si>
  <si>
    <t xml:space="preserve">J3</t>
  </si>
  <si>
    <t xml:space="preserve">CONBNC002</t>
  </si>
  <si>
    <t xml:space="preserve">BNC connector</t>
  </si>
  <si>
    <t xml:space="preserve">https://www.digikey.com/en/products/detail/amphenol-rf/031-5431-10RFX/2041816?s=N4IgTCBcDaIAwGYCMBaArAFmSpcBKAYgBogC6AvkA</t>
  </si>
  <si>
    <t xml:space="preserve">N/A</t>
  </si>
  <si>
    <t xml:space="preserve">TJ0331530000G</t>
  </si>
  <si>
    <t xml:space="preserve">Mating connector for OQ0332510000G </t>
  </si>
  <si>
    <t xml:space="preserve">https://www.digikey.com/en/products/detail/amphenol-anytek/TJ0331530000G/2261322</t>
  </si>
  <si>
    <t xml:space="preserve">TJ0231530000G</t>
  </si>
  <si>
    <t xml:space="preserve">Mating connector for OQ0232510000G</t>
  </si>
  <si>
    <t xml:space="preserve">https://www.digikey.com/en/products/detail/amphenol-anytek/TJ0231530000G/2261289</t>
  </si>
  <si>
    <t xml:space="preserve">J7</t>
  </si>
  <si>
    <t xml:space="preserve">UJ2-BH-BL1-TH</t>
  </si>
  <si>
    <t xml:space="preserve">USB Type B Female Connector</t>
  </si>
  <si>
    <t xml:space="preserve">https://www.digikey.com/en/products/detail/same-sky-formerly-cui-devices/UJ2-BH-BL1-TH/6188083?s=N4IgTCBcDaIKoCkwFoBCAJNAZAjMgKuiALoC%2BQA</t>
  </si>
  <si>
    <t xml:space="preserve">J8</t>
  </si>
  <si>
    <t xml:space="preserve">SMA-J-P-H-RA-TH1</t>
  </si>
  <si>
    <t xml:space="preserve">SMA antenna connector</t>
  </si>
  <si>
    <t xml:space="preserve">https://www.digikey.com/en/products/detail/samtec-inc/SMA-J-P-H-RA-TH1/2664715</t>
  </si>
  <si>
    <t xml:space="preserve">Connectors Subtotal</t>
  </si>
  <si>
    <t xml:space="preserve">ICs</t>
  </si>
  <si>
    <t xml:space="preserve">U1,U3</t>
  </si>
  <si>
    <t xml:space="preserve">TMUX1309DYYR</t>
  </si>
  <si>
    <t xml:space="preserve">2x SP4T Switch</t>
  </si>
  <si>
    <t xml:space="preserve">https://www.digikey.com/en/products/detail/texas-instruments/TMUX1309DYYR/13566849</t>
  </si>
  <si>
    <t xml:space="preserve">U2</t>
  </si>
  <si>
    <t xml:space="preserve">LSF0102DCUR</t>
  </si>
  <si>
    <t xml:space="preserve">I2C Level Shifter</t>
  </si>
  <si>
    <t xml:space="preserve">https://www.digikey.com/en/products/detail/texas-instruments/LSF0102DCUR/4806525</t>
  </si>
  <si>
    <t xml:space="preserve">U5</t>
  </si>
  <si>
    <t xml:space="preserve">MX25L3233FM2I-08Q</t>
  </si>
  <si>
    <t xml:space="preserve">32Mbit SPI Flash Memory</t>
  </si>
  <si>
    <t xml:space="preserve">https://www.digikey.com/en/products/detail/macronix/MX25L3233FM2I-08Q/7402342?s=N4IgTCBcDaILIA0wFYAyBmM70DE5gEkBaABgA4BFEAXQF8g</t>
  </si>
  <si>
    <t xml:space="preserve">U6</t>
  </si>
  <si>
    <t xml:space="preserve">MCP3425A0T-E/CH</t>
  </si>
  <si>
    <t xml:space="preserve">16 Bit A/D with I2C Interface</t>
  </si>
  <si>
    <t xml:space="preserve">https://www.digikey.com/en/products/detail/microchip-technology/MCP3425A0T-E-CH/1827893?s=N4IgTCBcDaILIGEAKBmALGArAQQAwBUBaAUQHoEAJEAXQF8g</t>
  </si>
  <si>
    <t xml:space="preserve">U7</t>
  </si>
  <si>
    <t xml:space="preserve">W25Q128JVSIQ TR</t>
  </si>
  <si>
    <t xml:space="preserve">128MBit QSPI Program Memory</t>
  </si>
  <si>
    <t xml:space="preserve">https://www.digikey.com/en/products/detail/winbond-electronics/W25Q128JVSIQ/5803943</t>
  </si>
  <si>
    <t xml:space="preserve">U8</t>
  </si>
  <si>
    <t xml:space="preserve">RP2350_60QFN</t>
  </si>
  <si>
    <t xml:space="preserve">Microcontroller</t>
  </si>
  <si>
    <t xml:space="preserve">https://www.digikey.com/en/products/detail/raspberry-pi/SC1509-13/26241107</t>
  </si>
  <si>
    <t xml:space="preserve">U9,U10</t>
  </si>
  <si>
    <t xml:space="preserve">TPS631010YBGR</t>
  </si>
  <si>
    <t xml:space="preserve">1.5A Buck-Boost Regulator with Feedback Control</t>
  </si>
  <si>
    <t xml:space="preserve">https://www.digikey.com/en/products/detail/texas-instruments/TPS631010YBGR/17748415?s=N4IgTCBcDaICoAUDKA2AzARgAzYJoCEBxAJRAF0BfIA</t>
  </si>
  <si>
    <t xml:space="preserve">U11</t>
  </si>
  <si>
    <t xml:space="preserve">LMV324IPWR</t>
  </si>
  <si>
    <t xml:space="preserve">Quad Rail-To-Rail Op-Amp</t>
  </si>
  <si>
    <t xml:space="preserve">https://www.digikey.com/en/products/detail/texas-instruments/LMV324IPWR/381071</t>
  </si>
  <si>
    <t xml:space="preserve">U12,U13</t>
  </si>
  <si>
    <t xml:space="preserve">MCP4651T-503E/ML</t>
  </si>
  <si>
    <t xml:space="preserve">50kOhm 2x Digital Potentiometer with I2C Interface</t>
  </si>
  <si>
    <t xml:space="preserve">https://www.digikey.com/en/products/detail/microchip-technology/MCP4651T-503E-ML/2059719?s=N4IgTCBcDaILIGEAKAWAbAVgIwBUC0GADAMwCiA9HADIgC6AvkA</t>
  </si>
  <si>
    <t xml:space="preserve">ICs Subtotal</t>
  </si>
  <si>
    <t xml:space="preserve">Specialized Components</t>
  </si>
  <si>
    <t xml:space="preserve">D1,D2</t>
  </si>
  <si>
    <t xml:space="preserve">B240AE-13</t>
  </si>
  <si>
    <t xml:space="preserve">Schottky Diode</t>
  </si>
  <si>
    <t xml:space="preserve">https://www.digikey.com/en/products/detail/diodes-incorporated/B240AE-13/7352825</t>
  </si>
  <si>
    <t xml:space="preserve">D3</t>
  </si>
  <si>
    <t xml:space="preserve">PDZVTFR3.3B </t>
  </si>
  <si>
    <t xml:space="preserve">3.3V Zener Diode</t>
  </si>
  <si>
    <t xml:space="preserve">https://www.digikey.com/en/products/detail/rohm-semiconductor/PDZVTFTR3-3B/9697230</t>
  </si>
  <si>
    <t xml:space="preserve">D4</t>
  </si>
  <si>
    <t xml:space="preserve">PDZVTFR5.1B</t>
  </si>
  <si>
    <t xml:space="preserve">5.1V Zener Diode</t>
  </si>
  <si>
    <t xml:space="preserve">https://www.digikey.com/en/products/detail/rohm-semiconductor/PDZVTFTR5-1B/9697238</t>
  </si>
  <si>
    <t xml:space="preserve">D5,D6,D10</t>
  </si>
  <si>
    <t xml:space="preserve">ESDZV5HS-1BF4</t>
  </si>
  <si>
    <t xml:space="preserve">5.5V TVS</t>
  </si>
  <si>
    <t xml:space="preserve">https://www.digikey.com/en/products/detail/stmicroelectronics/ESDZV5HS-1BF4/9866828?s=N4IgTCBcDaIKIGUAiAtAagVgBIILQEYAhAMQBYQBdAXyA</t>
  </si>
  <si>
    <t xml:space="preserve">D7,D9</t>
  </si>
  <si>
    <t xml:space="preserve">ESDARF02-1BU2CK</t>
  </si>
  <si>
    <t xml:space="preserve">30GHz Bandwidth 3.6V TVS</t>
  </si>
  <si>
    <t xml:space="preserve">https://www.digikey.com/en/products/detail/stmicroelectronics/ESDARF02-1BU2CK/5768407?s=N4IgTCBcDaIKIGUAiBBASgMQAxgLQEYAhAVTAGEBpEAXQF8g</t>
  </si>
  <si>
    <t xml:space="preserve">D11,D12,D13</t>
  </si>
  <si>
    <t xml:space="preserve">KT EELP41.12-S2U1-25-2X4Y-5-R18 </t>
  </si>
  <si>
    <t xml:space="preserve">Green LED</t>
  </si>
  <si>
    <t xml:space="preserve">https://www.digikey.com/en/products/detail/ams-osram-usa-inc/KT-EELP41-12-S2U1-25-2X4Y-5-R18/24765233?s=N4IgTCBcDaINIBUAEBRFAZACgFgIwDpcwBaAZTAFVdiwBWGgDWwE1j6AlXADiRAF0AvkA</t>
  </si>
  <si>
    <t xml:space="preserve">D8</t>
  </si>
  <si>
    <t xml:space="preserve">KR EELP41.22-Q1S1-36-A8J8-020-R18 </t>
  </si>
  <si>
    <t xml:space="preserve">Red LED</t>
  </si>
  <si>
    <t xml:space="preserve">https://www.digikey.com/en/products/detail/ams-osram-usa-inc/KR-EELP41-22-Q1S1-36-A8J8-020-R18/24765238?s=N4IgTCBcDaINICUAEBRFAZACgFgIwDowwBaARVwGVdiBmANmIEEAOAKWeIAYxPiFdmSEAF0AvkA</t>
  </si>
  <si>
    <t xml:space="preserve">Y1</t>
  </si>
  <si>
    <t xml:space="preserve">ABM8-272-T3</t>
  </si>
  <si>
    <t xml:space="preserve">12MHz XTAL Oscillator</t>
  </si>
  <si>
    <t xml:space="preserve">https://www.digikey.com/en/products/detail/abracon-llc/ABM8-272-T3/22472366?s=N4IgTCBcDaIIICECyAOAtGA7GNAVAzCALoC%2BQA</t>
  </si>
  <si>
    <t xml:space="preserve">L2,L3</t>
  </si>
  <si>
    <t xml:space="preserve">DFE252012P-1R0M=P2</t>
  </si>
  <si>
    <t xml:space="preserve">Buck-Boost Converter Inductor</t>
  </si>
  <si>
    <t xml:space="preserve">https://www.digikey.com/en/products/detail/murata-electronics/DFE252012P-1R0M-P2/5247258?s=N4IgTCBcDaICIDECiYCsYAMBGMAFAtFgEoYCyAvLhALoC%2BQA</t>
  </si>
  <si>
    <t xml:space="preserve">L1</t>
  </si>
  <si>
    <t xml:space="preserve">AOTA-B201610S3R3-101-T</t>
  </si>
  <si>
    <t xml:space="preserve">RP2350 DC-DC Inductor with Guaranteed Winding Direction</t>
  </si>
  <si>
    <t xml:space="preserve">https://www.digikey.com/en/products/detail/abracon-llc/AOTA-B201610S3R3-101-T/25621527?s=N4IgTCBcDaIIIHkAqcC0AhMAGAjANhywGUBmAJRNUJ1SRAF0BfIA</t>
  </si>
  <si>
    <t xml:space="preserve">Specialized Components Subtotal</t>
  </si>
  <si>
    <t xml:space="preserve">Integrated Modules</t>
  </si>
  <si>
    <t xml:space="preserve">U4</t>
  </si>
  <si>
    <t xml:space="preserve">Core1262 HF</t>
  </si>
  <si>
    <t xml:space="preserve">LoRa Modulator</t>
  </si>
  <si>
    <t xml:space="preserve">https://www.waveshare.com/core1262-868m.htm</t>
  </si>
  <si>
    <t xml:space="preserve">Integrated Modules Subtotal</t>
  </si>
  <si>
    <t xml:space="preserve">Components</t>
  </si>
  <si>
    <t xml:space="preserve">C1,C2</t>
  </si>
  <si>
    <t xml:space="preserve">GRM188R61A226ME15D</t>
  </si>
  <si>
    <t xml:space="preserve">22uF</t>
  </si>
  <si>
    <t xml:space="preserve">https://www.digikey.com/en/products/detail/murata-electronics/GRM188R61A226ME15D/5027561</t>
  </si>
  <si>
    <t xml:space="preserve">C3,C4</t>
  </si>
  <si>
    <t xml:space="preserve">GRM31CR61A476ME15L</t>
  </si>
  <si>
    <t xml:space="preserve">47uF (1206)</t>
  </si>
  <si>
    <t xml:space="preserve">https://www.digikey.com/en/products/detail/murata-electronics/GRM31CR61A476ME15L/2334879</t>
  </si>
  <si>
    <t xml:space="preserve">C5,C6,C7,C8,C9,C10,C13,C14,C19,C22,C23,C24,C25,C26,C27,C28,C29,C30,C31,C32</t>
  </si>
  <si>
    <t xml:space="preserve">CC0603KRX7R7BB104</t>
  </si>
  <si>
    <t xml:space="preserve">100n</t>
  </si>
  <si>
    <t xml:space="preserve">https://www.digikey.com/en/products/detail/yageo/CC0603KRX7R7BB104/302822</t>
  </si>
  <si>
    <t xml:space="preserve">C11,C12,C17,C18,C20,C21</t>
  </si>
  <si>
    <t xml:space="preserve">GRM188R61E475KE11D</t>
  </si>
  <si>
    <t xml:space="preserve">4.7u</t>
  </si>
  <si>
    <t xml:space="preserve">https://www.digikey.com/en/products/detail/murata-electronics/GRM188R61E475KE11D/3900465</t>
  </si>
  <si>
    <t xml:space="preserve">C15,C16</t>
  </si>
  <si>
    <t xml:space="preserve">GCM1885C2A150JA16D</t>
  </si>
  <si>
    <t xml:space="preserve">15p</t>
  </si>
  <si>
    <t xml:space="preserve">https://www.digikey.com/en/products/detail/murata-electronics/GCM1885C2A150JA16D/1765189</t>
  </si>
  <si>
    <t xml:space="preserve">R1</t>
  </si>
  <si>
    <t xml:space="preserve">RMCF0603ZT0R00</t>
  </si>
  <si>
    <t xml:space="preserve">0R</t>
  </si>
  <si>
    <t xml:space="preserve">https://www.digikey.com/en/products/detail/stackpole-electronics-inc/RMCF0603ZT0R00/1756908</t>
  </si>
  <si>
    <t xml:space="preserve">R1 (alt)</t>
  </si>
  <si>
    <t xml:space="preserve">RMCF0603JT470R</t>
  </si>
  <si>
    <t xml:space="preserve">470R</t>
  </si>
  <si>
    <t xml:space="preserve">R2</t>
  </si>
  <si>
    <t xml:space="preserve">RMCF0603FT4K70</t>
  </si>
  <si>
    <t xml:space="preserve">4.7k</t>
  </si>
  <si>
    <t xml:space="preserve">https://www.digikey.com/en/products/detail/stackpole-electronics-inc/RMCF0603FT4K70/1760998?s=N4IgTCBcDaIEoFkDCAxADANjQZhQFQBYBpAdjRAF0BfIA</t>
  </si>
  <si>
    <t xml:space="preserve">R3,R4,R5,R14,R15,R16,R18</t>
  </si>
  <si>
    <t xml:space="preserve">RNCP0603FTD10K0</t>
  </si>
  <si>
    <t xml:space="preserve">10k</t>
  </si>
  <si>
    <t xml:space="preserve">https://www.digikey.com/en/products/detail/stackpole-electronics-inc/RNCP0603FTD10K0/2240139</t>
  </si>
  <si>
    <t xml:space="preserve">R23,R24,R25,R26,R27,R28,R29,R30,R31,R32</t>
  </si>
  <si>
    <t xml:space="preserve">RNCF0603BTC10K0</t>
  </si>
  <si>
    <t xml:space="preserve">10k (0.1%)</t>
  </si>
  <si>
    <t xml:space="preserve">https://www.digikey.com/en/products/detail/stackpole-electronics-inc/RNCF0603BTC10K0/1708993</t>
  </si>
  <si>
    <t xml:space="preserve">R6</t>
  </si>
  <si>
    <t xml:space="preserve">RNCF0603DTE511K</t>
  </si>
  <si>
    <t xml:space="preserve">511k</t>
  </si>
  <si>
    <t xml:space="preserve">https://www.digikey.com/en/products/detail/stackpole-electronics-inc/RNCF0603DTE511K/6264264</t>
  </si>
  <si>
    <t xml:space="preserve">R7,R9</t>
  </si>
  <si>
    <t xml:space="preserve">RNCF0603DTE91K0</t>
  </si>
  <si>
    <t xml:space="preserve">91k</t>
  </si>
  <si>
    <t xml:space="preserve">https://www.digikey.com/en/products/detail/stackpole-electronics-inc/RNCF0603DTE91K0/6264180</t>
  </si>
  <si>
    <t xml:space="preserve">R8</t>
  </si>
  <si>
    <t xml:space="preserve">RMCF0603FT806K</t>
  </si>
  <si>
    <t xml:space="preserve">806k</t>
  </si>
  <si>
    <t xml:space="preserve">https://www.digikey.com/en/products/detail/stackpole-electronics-inc/RMCF0603FT806K/1714256?s=N4IgTCBcDaIEoFkDCAxADANjQZhQFQA5MBpEAXQF8g</t>
  </si>
  <si>
    <t xml:space="preserve">R10</t>
  </si>
  <si>
    <t xml:space="preserve">RNCF0805DTE100R</t>
  </si>
  <si>
    <t xml:space="preserve">100R (0.5%) (0805)</t>
  </si>
  <si>
    <t xml:space="preserve">https://www.digikey.com/en/products/detail/stackpole-electronics-inc/RNCF0805DTE100R/1708180?s=N4IgTCBcDaIEoDkDCAxADADjQVgCIBUBRARjTThAF0BfIA</t>
  </si>
  <si>
    <t xml:space="preserve">R11</t>
  </si>
  <si>
    <t xml:space="preserve">RMCF0603FT200K</t>
  </si>
  <si>
    <t xml:space="preserve">200k</t>
  </si>
  <si>
    <t xml:space="preserve">https://www.digikey.com/en/products/detail/stackpole-electronics-inc/RMCF0603FT200K/1760715</t>
  </si>
  <si>
    <t xml:space="preserve">R12,R13</t>
  </si>
  <si>
    <t xml:space="preserve">RNCP0603FTD4K02</t>
  </si>
  <si>
    <t xml:space="preserve">4k</t>
  </si>
  <si>
    <t xml:space="preserve">https://www.digikey.com/en/products/detail/stackpole-electronics-inc/RNCP0603FTD4K02/2240124?s=N4IgTCBcDaIEoDkDCAFADANjQZgGIBUARAFgGk0IBdAXyA</t>
  </si>
  <si>
    <t xml:space="preserve">R17,R20</t>
  </si>
  <si>
    <t xml:space="preserve">RMCF0603FT1K00</t>
  </si>
  <si>
    <t xml:space="preserve">1k</t>
  </si>
  <si>
    <t xml:space="preserve">https://www.digikey.com/en/products/detail/stackpole-electronics-inc/RMCF0603FT1K00/1761077?s=N4IgTCBcDaIEoFkDCAxADANjQZhQFQEYBpNNEAXQF8g</t>
  </si>
  <si>
    <t xml:space="preserve">R19</t>
  </si>
  <si>
    <t xml:space="preserve">RMCF0603FT33R0</t>
  </si>
  <si>
    <t xml:space="preserve">33R</t>
  </si>
  <si>
    <t xml:space="preserve">https://www.digikey.com/en/products/detail/stackpole-electronics-inc/RMCF0603FT33R0/1760804?s=N4IgTCBcDaIEoFkDCAxADANjQZhQFW2zjRAF0BfIA</t>
  </si>
  <si>
    <t xml:space="preserve">R21,R22</t>
  </si>
  <si>
    <t xml:space="preserve">RMCF0603FT27R0</t>
  </si>
  <si>
    <t xml:space="preserve">27R</t>
  </si>
  <si>
    <t xml:space="preserve">https://www.digikey.com/en/products/detail/stackpole-electronics-inc/RMCF0603FT27R0/1760818?s=N4IgTCBcDaIEoFkDCAxADANjQZhQFTAHY40QBdAXyA</t>
  </si>
  <si>
    <t xml:space="preserve">R33</t>
  </si>
  <si>
    <t xml:space="preserve">RNCF0603BTE71R5</t>
  </si>
  <si>
    <t xml:space="preserve">70R</t>
  </si>
  <si>
    <t xml:space="preserve">https://www.digikey.com/en/products/detail/stackpole-electronics-inc/RNCF0603BTE71R5/3479098?s=N4IgTCBcDaIEoDkDCAxADANjQZgEIBUBRAdgEY4BWEAXQF8g</t>
  </si>
  <si>
    <t xml:space="preserve">R34,R35,R36</t>
  </si>
  <si>
    <t xml:space="preserve">RMCF0603JT160R</t>
  </si>
  <si>
    <t xml:space="preserve">160R</t>
  </si>
  <si>
    <t xml:space="preserve">https://www.digikey.com/en/products/detail/stackpole-electronics-inc/RMCF0603JT160R/1757957?s=N4IgTCBcDaIEoFkDCAxADANjQZgFIBUBGLOEAXQF8g</t>
  </si>
  <si>
    <t xml:space="preserve">Components Subtotal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</si>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</sst>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9"/>
  <sheetViews>
    <sheetView showFormulas="false" showGridLines="true" showRowColHeaders="true" showZeros="true" rightToLeft="false" tabSelected="true" showOutlineSymbols="true" defaultGridColor="true" view="normal" topLeftCell="A43" colorId="64" zoomScale="120" zoomScaleNormal="120" zoomScalePageLayoutView="100" workbookViewId="0">
      <selection pane="topLeft" activeCell="B18" activeCellId="0" sqref="B18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74.54"/>
    <col collapsed="false" customWidth="true" hidden="false" outlineLevel="0" max="2" min="2" style="0" width="35.17"/>
    <col collapsed="false" customWidth="true" hidden="false" outlineLevel="0" max="5" min="5" style="0" width="8.87"/>
    <col collapsed="false" customWidth="true" hidden="false" outlineLevel="0" max="6" min="6" style="0" width="43.28"/>
  </cols>
  <sheetData>
    <row r="1" customFormat="false" ht="12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2.8" hidden="false" customHeight="false" outlineLevel="0" collapsed="false">
      <c r="A2" s="0" t="s">
        <v>1</v>
      </c>
      <c r="B2" s="0" t="s">
        <v>2</v>
      </c>
      <c r="C2" s="0" t="s">
        <v>3</v>
      </c>
      <c r="D2" s="0" t="s">
        <v>4</v>
      </c>
      <c r="E2" s="0" t="s">
        <v>5</v>
      </c>
      <c r="F2" s="0" t="s">
        <v>6</v>
      </c>
      <c r="G2" s="0" t="s">
        <v>7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n">
        <v>3</v>
      </c>
      <c r="D3" s="2" t="n">
        <v>0.37</v>
      </c>
      <c r="E3" s="2" t="n">
        <f aca="false">C3*D3</f>
        <v>1.11</v>
      </c>
      <c r="F3" s="0" t="s">
        <v>10</v>
      </c>
      <c r="G3" s="0" t="s">
        <v>11</v>
      </c>
    </row>
    <row r="4" customFormat="false" ht="12.8" hidden="false" customHeight="false" outlineLevel="0" collapsed="false">
      <c r="A4" s="0" t="s">
        <v>12</v>
      </c>
      <c r="B4" s="0" t="s">
        <v>13</v>
      </c>
      <c r="C4" s="0" t="n">
        <v>1</v>
      </c>
      <c r="D4" s="2" t="n">
        <v>0.27</v>
      </c>
      <c r="E4" s="2" t="n">
        <f aca="false">C4*D4</f>
        <v>0.27</v>
      </c>
      <c r="F4" s="0" t="s">
        <v>14</v>
      </c>
      <c r="G4" s="0" t="s">
        <v>15</v>
      </c>
    </row>
    <row r="5" customFormat="false" ht="12.8" hidden="false" customHeight="false" outlineLevel="0" collapsed="false">
      <c r="A5" s="0" t="s">
        <v>16</v>
      </c>
      <c r="B5" s="0" t="s">
        <v>17</v>
      </c>
      <c r="C5" s="0" t="n">
        <v>1</v>
      </c>
      <c r="D5" s="2" t="n">
        <v>2.05</v>
      </c>
      <c r="E5" s="2" t="n">
        <f aca="false">C5*D5</f>
        <v>2.05</v>
      </c>
      <c r="F5" s="0" t="s">
        <v>18</v>
      </c>
      <c r="G5" s="0" t="s">
        <v>19</v>
      </c>
    </row>
    <row r="6" customFormat="false" ht="12.8" hidden="false" customHeight="false" outlineLevel="0" collapsed="false">
      <c r="A6" s="0" t="s">
        <v>20</v>
      </c>
      <c r="B6" s="0" t="s">
        <v>21</v>
      </c>
      <c r="C6" s="0" t="n">
        <v>3</v>
      </c>
      <c r="D6" s="2" t="n">
        <v>0.97</v>
      </c>
      <c r="E6" s="2" t="n">
        <f aca="false">C6*D6</f>
        <v>2.91</v>
      </c>
      <c r="F6" s="3" t="s">
        <v>22</v>
      </c>
      <c r="G6" s="0" t="s">
        <v>23</v>
      </c>
    </row>
    <row r="7" customFormat="false" ht="12.8" hidden="false" customHeight="false" outlineLevel="0" collapsed="false">
      <c r="A7" s="0" t="s">
        <v>20</v>
      </c>
      <c r="B7" s="0" t="s">
        <v>24</v>
      </c>
      <c r="C7" s="0" t="n">
        <v>1</v>
      </c>
      <c r="D7" s="2" t="n">
        <v>0.67</v>
      </c>
      <c r="E7" s="2" t="n">
        <f aca="false">C7*D7</f>
        <v>0.67</v>
      </c>
      <c r="F7" s="0" t="s">
        <v>25</v>
      </c>
      <c r="G7" s="0" t="s">
        <v>26</v>
      </c>
    </row>
    <row r="8" customFormat="false" ht="12.8" hidden="false" customHeight="false" outlineLevel="0" collapsed="false">
      <c r="A8" s="0" t="s">
        <v>27</v>
      </c>
      <c r="B8" s="0" t="s">
        <v>28</v>
      </c>
      <c r="C8" s="0" t="n">
        <v>1</v>
      </c>
      <c r="D8" s="2" t="n">
        <v>0.51</v>
      </c>
      <c r="E8" s="2" t="n">
        <f aca="false">C8*D8</f>
        <v>0.51</v>
      </c>
      <c r="F8" s="0" t="s">
        <v>29</v>
      </c>
      <c r="G8" s="0" t="s">
        <v>30</v>
      </c>
    </row>
    <row r="9" customFormat="false" ht="12.8" hidden="false" customHeight="false" outlineLevel="0" collapsed="false">
      <c r="A9" s="0" t="s">
        <v>31</v>
      </c>
      <c r="B9" s="0" t="s">
        <v>32</v>
      </c>
      <c r="C9" s="0" t="n">
        <v>1</v>
      </c>
      <c r="D9" s="2" t="n">
        <v>3.43</v>
      </c>
      <c r="E9" s="2" t="n">
        <f aca="false">C9*D9</f>
        <v>3.43</v>
      </c>
      <c r="F9" s="0" t="s">
        <v>33</v>
      </c>
      <c r="G9" s="0" t="s">
        <v>34</v>
      </c>
    </row>
    <row r="10" customFormat="false" ht="12.8" hidden="false" customHeight="false" outlineLevel="0" collapsed="false">
      <c r="A10" s="4" t="s">
        <v>35</v>
      </c>
      <c r="B10" s="4"/>
      <c r="C10" s="4"/>
      <c r="D10" s="4"/>
      <c r="E10" s="5" t="n">
        <f aca="false">SUM(E3:E9)</f>
        <v>10.95</v>
      </c>
      <c r="F10" s="4"/>
      <c r="G10" s="4"/>
    </row>
    <row r="13" customFormat="false" ht="12.8" hidden="false" customHeight="false" outlineLevel="0" collapsed="false">
      <c r="A13" s="6" t="s">
        <v>36</v>
      </c>
      <c r="B13" s="6"/>
      <c r="C13" s="6"/>
      <c r="D13" s="6"/>
      <c r="E13" s="6"/>
      <c r="F13" s="6"/>
      <c r="G13" s="6"/>
    </row>
    <row r="14" customFormat="false" ht="12.8" hidden="false" customHeight="false" outlineLevel="0" collapsed="false">
      <c r="A14" s="3" t="s">
        <v>1</v>
      </c>
      <c r="B14" s="3" t="s">
        <v>2</v>
      </c>
      <c r="C14" s="3" t="s">
        <v>3</v>
      </c>
      <c r="D14" s="3" t="s">
        <v>4</v>
      </c>
      <c r="E14" s="3" t="s">
        <v>5</v>
      </c>
      <c r="F14" s="3" t="s">
        <v>6</v>
      </c>
      <c r="G14" s="3" t="s">
        <v>7</v>
      </c>
    </row>
    <row r="15" customFormat="false" ht="12.8" hidden="false" customHeight="false" outlineLevel="0" collapsed="false">
      <c r="A15" s="0" t="s">
        <v>37</v>
      </c>
      <c r="B15" s="0" t="s">
        <v>38</v>
      </c>
      <c r="C15" s="0" t="n">
        <v>2</v>
      </c>
      <c r="D15" s="2" t="n">
        <v>0.32</v>
      </c>
      <c r="E15" s="2" t="n">
        <f aca="false">C15*D15</f>
        <v>0.64</v>
      </c>
      <c r="F15" s="0" t="s">
        <v>39</v>
      </c>
      <c r="G15" s="0" t="s">
        <v>40</v>
      </c>
    </row>
    <row r="16" customFormat="false" ht="12.8" hidden="false" customHeight="false" outlineLevel="0" collapsed="false">
      <c r="A16" s="0" t="s">
        <v>41</v>
      </c>
      <c r="B16" s="0" t="s">
        <v>42</v>
      </c>
      <c r="C16" s="0" t="n">
        <v>1</v>
      </c>
      <c r="D16" s="2" t="n">
        <v>0.43</v>
      </c>
      <c r="E16" s="2" t="n">
        <f aca="false">C16*D16</f>
        <v>0.43</v>
      </c>
      <c r="F16" s="0" t="s">
        <v>43</v>
      </c>
      <c r="G16" s="0" t="s">
        <v>44</v>
      </c>
    </row>
    <row r="17" customFormat="false" ht="12.8" hidden="false" customHeight="false" outlineLevel="0" collapsed="false">
      <c r="A17" s="0" t="s">
        <v>45</v>
      </c>
      <c r="B17" s="0" t="s">
        <v>46</v>
      </c>
      <c r="C17" s="0" t="n">
        <v>1</v>
      </c>
      <c r="D17" s="2" t="n">
        <v>0.48</v>
      </c>
      <c r="E17" s="2" t="n">
        <f aca="false">C17*D17</f>
        <v>0.48</v>
      </c>
      <c r="F17" s="0" t="s">
        <v>47</v>
      </c>
      <c r="G17" s="0" t="s">
        <v>48</v>
      </c>
    </row>
    <row r="18" customFormat="false" ht="12.8" hidden="false" customHeight="false" outlineLevel="0" collapsed="false">
      <c r="A18" s="0" t="s">
        <v>49</v>
      </c>
      <c r="B18" s="0" t="s">
        <v>50</v>
      </c>
      <c r="C18" s="0" t="n">
        <v>1</v>
      </c>
      <c r="D18" s="2" t="n">
        <v>2.48</v>
      </c>
      <c r="E18" s="2" t="n">
        <f aca="false">C18*D18</f>
        <v>2.48</v>
      </c>
      <c r="F18" s="0" t="s">
        <v>51</v>
      </c>
      <c r="G18" s="0" t="s">
        <v>52</v>
      </c>
    </row>
    <row r="19" customFormat="false" ht="12.8" hidden="false" customHeight="false" outlineLevel="0" collapsed="false">
      <c r="A19" s="0" t="s">
        <v>53</v>
      </c>
      <c r="B19" s="0" t="s">
        <v>54</v>
      </c>
      <c r="C19" s="0" t="n">
        <v>1</v>
      </c>
      <c r="D19" s="2" t="n">
        <v>1.85</v>
      </c>
      <c r="E19" s="2" t="n">
        <f aca="false">C19*D19</f>
        <v>1.85</v>
      </c>
      <c r="F19" s="0" t="s">
        <v>55</v>
      </c>
      <c r="G19" s="0" t="s">
        <v>56</v>
      </c>
    </row>
    <row r="20" customFormat="false" ht="12.8" hidden="false" customHeight="false" outlineLevel="0" collapsed="false">
      <c r="A20" s="0" t="s">
        <v>57</v>
      </c>
      <c r="B20" s="0" t="s">
        <v>58</v>
      </c>
      <c r="C20" s="0" t="n">
        <v>1</v>
      </c>
      <c r="D20" s="2" t="n">
        <v>1.1</v>
      </c>
      <c r="E20" s="2" t="n">
        <f aca="false">C20*D20</f>
        <v>1.1</v>
      </c>
      <c r="F20" s="0" t="s">
        <v>59</v>
      </c>
      <c r="G20" s="0" t="s">
        <v>60</v>
      </c>
    </row>
    <row r="21" customFormat="false" ht="12.8" hidden="false" customHeight="false" outlineLevel="0" collapsed="false">
      <c r="A21" s="0" t="s">
        <v>61</v>
      </c>
      <c r="B21" s="0" t="s">
        <v>62</v>
      </c>
      <c r="C21" s="0" t="n">
        <v>2</v>
      </c>
      <c r="D21" s="2" t="n">
        <v>1.47</v>
      </c>
      <c r="E21" s="2" t="n">
        <f aca="false">C21*D21</f>
        <v>2.94</v>
      </c>
      <c r="F21" s="0" t="s">
        <v>63</v>
      </c>
      <c r="G21" s="0" t="s">
        <v>64</v>
      </c>
    </row>
    <row r="22" customFormat="false" ht="12.8" hidden="false" customHeight="false" outlineLevel="0" collapsed="false">
      <c r="A22" s="0" t="s">
        <v>65</v>
      </c>
      <c r="B22" s="0" t="s">
        <v>66</v>
      </c>
      <c r="C22" s="0" t="n">
        <v>1</v>
      </c>
      <c r="D22" s="2" t="n">
        <v>0.44</v>
      </c>
      <c r="E22" s="2" t="n">
        <f aca="false">C22*D22</f>
        <v>0.44</v>
      </c>
      <c r="F22" s="0" t="s">
        <v>67</v>
      </c>
      <c r="G22" s="0" t="s">
        <v>68</v>
      </c>
    </row>
    <row r="23" customFormat="false" ht="12.8" hidden="false" customHeight="false" outlineLevel="0" collapsed="false">
      <c r="A23" s="0" t="s">
        <v>69</v>
      </c>
      <c r="B23" s="0" t="s">
        <v>70</v>
      </c>
      <c r="C23" s="0" t="n">
        <v>2</v>
      </c>
      <c r="D23" s="2" t="n">
        <v>1.24</v>
      </c>
      <c r="E23" s="2" t="n">
        <f aca="false">C23*D23</f>
        <v>2.48</v>
      </c>
      <c r="F23" s="0" t="s">
        <v>71</v>
      </c>
      <c r="G23" s="0" t="s">
        <v>72</v>
      </c>
    </row>
    <row r="24" customFormat="false" ht="12.8" hidden="false" customHeight="false" outlineLevel="0" collapsed="false">
      <c r="A24" s="4" t="s">
        <v>73</v>
      </c>
      <c r="B24" s="4"/>
      <c r="C24" s="4"/>
      <c r="D24" s="5"/>
      <c r="E24" s="5" t="n">
        <f aca="false">SUM(E15:E23)</f>
        <v>12.84</v>
      </c>
      <c r="F24" s="4"/>
      <c r="G24" s="4"/>
    </row>
    <row r="25" customFormat="false" ht="12.8" hidden="false" customHeight="false" outlineLevel="0" collapsed="false">
      <c r="D25" s="2"/>
      <c r="E25" s="2"/>
    </row>
    <row r="26" customFormat="false" ht="12.8" hidden="false" customHeight="false" outlineLevel="0" collapsed="false">
      <c r="A26" s="1" t="s">
        <v>74</v>
      </c>
      <c r="B26" s="1"/>
      <c r="C26" s="1"/>
      <c r="D26" s="1"/>
      <c r="E26" s="1"/>
      <c r="F26" s="1"/>
      <c r="G26" s="1"/>
    </row>
    <row r="27" customFormat="false" ht="12.8" hidden="false" customHeight="false" outlineLevel="0" collapsed="false">
      <c r="A27" s="0" t="s">
        <v>75</v>
      </c>
      <c r="B27" s="0" t="s">
        <v>76</v>
      </c>
      <c r="C27" s="0" t="n">
        <v>2</v>
      </c>
      <c r="D27" s="2" t="n">
        <v>0.2</v>
      </c>
      <c r="E27" s="2" t="n">
        <f aca="false">C27*D27</f>
        <v>0.4</v>
      </c>
      <c r="F27" s="0" t="s">
        <v>77</v>
      </c>
      <c r="G27" s="0" t="s">
        <v>78</v>
      </c>
    </row>
    <row r="28" customFormat="false" ht="12.8" hidden="false" customHeight="false" outlineLevel="0" collapsed="false">
      <c r="A28" s="0" t="s">
        <v>79</v>
      </c>
      <c r="B28" s="0" t="s">
        <v>80</v>
      </c>
      <c r="C28" s="0" t="n">
        <v>1</v>
      </c>
      <c r="D28" s="2" t="n">
        <v>0.43</v>
      </c>
      <c r="E28" s="2" t="n">
        <f aca="false">C28*D28</f>
        <v>0.43</v>
      </c>
      <c r="F28" s="0" t="s">
        <v>81</v>
      </c>
      <c r="G28" s="0" t="s">
        <v>82</v>
      </c>
    </row>
    <row r="29" customFormat="false" ht="12.8" hidden="false" customHeight="false" outlineLevel="0" collapsed="false">
      <c r="A29" s="0" t="s">
        <v>83</v>
      </c>
      <c r="B29" s="0" t="s">
        <v>84</v>
      </c>
      <c r="C29" s="0" t="n">
        <v>1</v>
      </c>
      <c r="D29" s="2" t="n">
        <v>0.37</v>
      </c>
      <c r="E29" s="2" t="n">
        <f aca="false">C29*D29</f>
        <v>0.37</v>
      </c>
      <c r="F29" s="0" t="s">
        <v>85</v>
      </c>
      <c r="G29" s="0" t="s">
        <v>86</v>
      </c>
    </row>
    <row r="30" customFormat="false" ht="12.8" hidden="false" customHeight="false" outlineLevel="0" collapsed="false">
      <c r="A30" s="0" t="s">
        <v>87</v>
      </c>
      <c r="B30" s="0" t="s">
        <v>88</v>
      </c>
      <c r="C30" s="0" t="n">
        <v>3</v>
      </c>
      <c r="D30" s="2" t="n">
        <v>0.1</v>
      </c>
      <c r="E30" s="2" t="n">
        <f aca="false">C30*D30</f>
        <v>0.3</v>
      </c>
      <c r="F30" s="0" t="s">
        <v>89</v>
      </c>
      <c r="G30" s="0" t="s">
        <v>90</v>
      </c>
    </row>
    <row r="31" customFormat="false" ht="12.8" hidden="false" customHeight="false" outlineLevel="0" collapsed="false">
      <c r="A31" s="0" t="s">
        <v>91</v>
      </c>
      <c r="B31" s="0" t="s">
        <v>92</v>
      </c>
      <c r="C31" s="0" t="n">
        <v>2</v>
      </c>
      <c r="D31" s="2" t="n">
        <v>0.13</v>
      </c>
      <c r="E31" s="2" t="n">
        <f aca="false">C31*D31</f>
        <v>0.26</v>
      </c>
      <c r="F31" s="0" t="s">
        <v>93</v>
      </c>
      <c r="G31" s="0" t="s">
        <v>94</v>
      </c>
    </row>
    <row r="32" customFormat="false" ht="12.8" hidden="false" customHeight="false" outlineLevel="0" collapsed="false">
      <c r="A32" s="0" t="s">
        <v>95</v>
      </c>
      <c r="B32" s="0" t="s">
        <v>96</v>
      </c>
      <c r="C32" s="0" t="n">
        <v>3</v>
      </c>
      <c r="D32" s="2" t="n">
        <v>0.16</v>
      </c>
      <c r="E32" s="2" t="n">
        <f aca="false">C32*D32</f>
        <v>0.48</v>
      </c>
      <c r="F32" s="0" t="s">
        <v>97</v>
      </c>
      <c r="G32" s="0" t="s">
        <v>98</v>
      </c>
    </row>
    <row r="33" customFormat="false" ht="12.8" hidden="false" customHeight="false" outlineLevel="0" collapsed="false">
      <c r="A33" s="3" t="s">
        <v>99</v>
      </c>
      <c r="B33" s="3" t="s">
        <v>100</v>
      </c>
      <c r="C33" s="3" t="n">
        <v>1</v>
      </c>
      <c r="D33" s="2" t="n">
        <v>0.14</v>
      </c>
      <c r="E33" s="2" t="n">
        <f aca="false">C33*D33</f>
        <v>0.14</v>
      </c>
      <c r="F33" s="3" t="s">
        <v>101</v>
      </c>
      <c r="G33" s="3" t="s">
        <v>102</v>
      </c>
    </row>
    <row r="34" customFormat="false" ht="12.8" hidden="false" customHeight="false" outlineLevel="0" collapsed="false">
      <c r="A34" s="0" t="s">
        <v>103</v>
      </c>
      <c r="B34" s="3" t="s">
        <v>104</v>
      </c>
      <c r="C34" s="0" t="n">
        <v>1</v>
      </c>
      <c r="D34" s="2" t="n">
        <v>0.54</v>
      </c>
      <c r="E34" s="2" t="n">
        <f aca="false">C34*D34</f>
        <v>0.54</v>
      </c>
      <c r="F34" s="0" t="s">
        <v>105</v>
      </c>
      <c r="G34" s="0" t="s">
        <v>106</v>
      </c>
    </row>
    <row r="35" customFormat="false" ht="12.8" hidden="false" customHeight="false" outlineLevel="0" collapsed="false">
      <c r="A35" s="0" t="s">
        <v>107</v>
      </c>
      <c r="B35" s="0" t="s">
        <v>108</v>
      </c>
      <c r="C35" s="0" t="n">
        <v>2</v>
      </c>
      <c r="D35" s="2" t="n">
        <v>0.21</v>
      </c>
      <c r="E35" s="2" t="n">
        <f aca="false">C35*D35</f>
        <v>0.42</v>
      </c>
      <c r="F35" s="0" t="s">
        <v>109</v>
      </c>
      <c r="G35" s="0" t="s">
        <v>110</v>
      </c>
    </row>
    <row r="36" customFormat="false" ht="12.8" hidden="false" customHeight="false" outlineLevel="0" collapsed="false">
      <c r="A36" s="0" t="s">
        <v>111</v>
      </c>
      <c r="B36" s="0" t="s">
        <v>112</v>
      </c>
      <c r="C36" s="0" t="n">
        <v>1</v>
      </c>
      <c r="D36" s="2" t="n">
        <v>0.22</v>
      </c>
      <c r="E36" s="2" t="n">
        <f aca="false">C36*D36</f>
        <v>0.22</v>
      </c>
      <c r="F36" s="0" t="s">
        <v>113</v>
      </c>
      <c r="G36" s="0" t="s">
        <v>114</v>
      </c>
    </row>
    <row r="37" customFormat="false" ht="12.8" hidden="false" customHeight="false" outlineLevel="0" collapsed="false">
      <c r="A37" s="4" t="s">
        <v>115</v>
      </c>
      <c r="B37" s="4"/>
      <c r="C37" s="4"/>
      <c r="D37" s="4"/>
      <c r="E37" s="5" t="n">
        <f aca="false">SUM(E27:E36)</f>
        <v>3.56</v>
      </c>
      <c r="F37" s="4"/>
      <c r="G37" s="4"/>
    </row>
    <row r="39" customFormat="false" ht="12.8" hidden="false" customHeight="false" outlineLevel="0" collapsed="false">
      <c r="A39" s="1" t="s">
        <v>116</v>
      </c>
      <c r="B39" s="1"/>
      <c r="C39" s="1"/>
      <c r="D39" s="1"/>
      <c r="E39" s="1"/>
      <c r="F39" s="1"/>
      <c r="G39" s="1"/>
    </row>
    <row r="40" customFormat="false" ht="12.8" hidden="false" customHeight="false" outlineLevel="0" collapsed="false">
      <c r="A40" s="0" t="s">
        <v>1</v>
      </c>
      <c r="B40" s="3" t="s">
        <v>2</v>
      </c>
      <c r="C40" s="3" t="s">
        <v>3</v>
      </c>
      <c r="D40" s="3" t="s">
        <v>4</v>
      </c>
      <c r="E40" s="3" t="s">
        <v>5</v>
      </c>
      <c r="F40" s="3" t="s">
        <v>6</v>
      </c>
      <c r="G40" s="3" t="s">
        <v>7</v>
      </c>
    </row>
    <row r="41" customFormat="false" ht="12.8" hidden="false" customHeight="false" outlineLevel="0" collapsed="false">
      <c r="A41" s="0" t="s">
        <v>117</v>
      </c>
      <c r="B41" s="0" t="s">
        <v>118</v>
      </c>
      <c r="C41" s="0" t="n">
        <v>1</v>
      </c>
      <c r="D41" s="2" t="n">
        <v>7.99</v>
      </c>
      <c r="E41" s="2" t="n">
        <f aca="false">C41*D41</f>
        <v>7.99</v>
      </c>
      <c r="F41" s="0" t="s">
        <v>119</v>
      </c>
      <c r="G41" s="0" t="s">
        <v>120</v>
      </c>
    </row>
    <row r="42" customFormat="false" ht="12.8" hidden="false" customHeight="false" outlineLevel="0" collapsed="false">
      <c r="A42" s="4" t="s">
        <v>121</v>
      </c>
      <c r="B42" s="4"/>
      <c r="C42" s="4"/>
      <c r="D42" s="4"/>
      <c r="E42" s="5" t="n">
        <f aca="false">SUM(E41)</f>
        <v>7.99</v>
      </c>
      <c r="F42" s="4"/>
      <c r="G42" s="4"/>
    </row>
    <row r="44" customFormat="false" ht="12.8" hidden="false" customHeight="false" outlineLevel="0" collapsed="false">
      <c r="A44" s="1" t="s">
        <v>122</v>
      </c>
      <c r="B44" s="1"/>
      <c r="C44" s="1"/>
      <c r="D44" s="1"/>
      <c r="E44" s="1"/>
      <c r="F44" s="1"/>
      <c r="G44" s="1"/>
    </row>
    <row r="45" customFormat="false" ht="12.8" hidden="false" customHeight="false" outlineLevel="0" collapsed="false">
      <c r="A45" s="0" t="s">
        <v>1</v>
      </c>
      <c r="B45" s="3" t="s">
        <v>2</v>
      </c>
      <c r="C45" s="3" t="s">
        <v>3</v>
      </c>
      <c r="D45" s="3" t="s">
        <v>4</v>
      </c>
      <c r="E45" s="3" t="s">
        <v>5</v>
      </c>
      <c r="F45" s="3" t="s">
        <v>6</v>
      </c>
      <c r="G45" s="3" t="s">
        <v>7</v>
      </c>
    </row>
    <row r="46" customFormat="false" ht="12.8" hidden="false" customHeight="false" outlineLevel="0" collapsed="false">
      <c r="A46" s="0" t="s">
        <v>123</v>
      </c>
      <c r="B46" s="0" t="s">
        <v>124</v>
      </c>
      <c r="C46" s="0" t="n">
        <v>2</v>
      </c>
      <c r="D46" s="2" t="n">
        <v>0.16</v>
      </c>
      <c r="E46" s="2" t="n">
        <f aca="false">C46*D46</f>
        <v>0.32</v>
      </c>
      <c r="F46" s="0" t="s">
        <v>125</v>
      </c>
      <c r="G46" s="0" t="s">
        <v>126</v>
      </c>
    </row>
    <row r="47" customFormat="false" ht="12.8" hidden="false" customHeight="false" outlineLevel="0" collapsed="false">
      <c r="A47" s="0" t="s">
        <v>127</v>
      </c>
      <c r="B47" s="0" t="s">
        <v>128</v>
      </c>
      <c r="C47" s="0" t="n">
        <v>2</v>
      </c>
      <c r="D47" s="2" t="n">
        <v>0.38</v>
      </c>
      <c r="E47" s="2" t="n">
        <f aca="false">C47*D47</f>
        <v>0.76</v>
      </c>
      <c r="F47" s="0" t="s">
        <v>129</v>
      </c>
      <c r="G47" s="0" t="s">
        <v>130</v>
      </c>
    </row>
    <row r="48" customFormat="false" ht="12.8" hidden="false" customHeight="false" outlineLevel="0" collapsed="false">
      <c r="A48" s="0" t="s">
        <v>131</v>
      </c>
      <c r="B48" s="0" t="s">
        <v>132</v>
      </c>
      <c r="C48" s="0" t="n">
        <v>20</v>
      </c>
      <c r="D48" s="2" t="n">
        <v>0.014</v>
      </c>
      <c r="E48" s="2" t="n">
        <f aca="false">C48*D48</f>
        <v>0.28</v>
      </c>
      <c r="F48" s="0" t="s">
        <v>133</v>
      </c>
      <c r="G48" s="0" t="s">
        <v>134</v>
      </c>
    </row>
    <row r="49" customFormat="false" ht="12.8" hidden="false" customHeight="false" outlineLevel="0" collapsed="false">
      <c r="A49" s="0" t="s">
        <v>135</v>
      </c>
      <c r="B49" s="0" t="s">
        <v>136</v>
      </c>
      <c r="C49" s="0" t="n">
        <v>6</v>
      </c>
      <c r="D49" s="2" t="n">
        <v>0.08</v>
      </c>
      <c r="E49" s="2" t="n">
        <f aca="false">C49*D49</f>
        <v>0.48</v>
      </c>
      <c r="F49" s="0" t="s">
        <v>137</v>
      </c>
      <c r="G49" s="0" t="s">
        <v>138</v>
      </c>
    </row>
    <row r="50" customFormat="false" ht="12.8" hidden="false" customHeight="false" outlineLevel="0" collapsed="false">
      <c r="A50" s="0" t="s">
        <v>139</v>
      </c>
      <c r="B50" s="0" t="s">
        <v>140</v>
      </c>
      <c r="C50" s="0" t="n">
        <v>2</v>
      </c>
      <c r="D50" s="2" t="n">
        <v>0.1</v>
      </c>
      <c r="E50" s="2" t="n">
        <f aca="false">C50*D50</f>
        <v>0.2</v>
      </c>
      <c r="F50" s="0" t="s">
        <v>141</v>
      </c>
      <c r="G50" s="0" t="s">
        <v>142</v>
      </c>
    </row>
    <row r="51" customFormat="false" ht="12.8" hidden="false" customHeight="false" outlineLevel="0" collapsed="false">
      <c r="A51" s="0" t="s">
        <v>143</v>
      </c>
      <c r="B51" s="0" t="s">
        <v>144</v>
      </c>
      <c r="C51" s="0" t="n">
        <v>1</v>
      </c>
      <c r="D51" s="2" t="n">
        <v>0.006</v>
      </c>
      <c r="E51" s="2" t="n">
        <f aca="false">C51*D51</f>
        <v>0.006</v>
      </c>
      <c r="F51" s="0" t="s">
        <v>145</v>
      </c>
      <c r="G51" s="0" t="s">
        <v>146</v>
      </c>
    </row>
    <row r="52" customFormat="false" ht="12.8" hidden="false" customHeight="false" outlineLevel="0" collapsed="false">
      <c r="A52" s="0" t="s">
        <v>147</v>
      </c>
      <c r="B52" s="0" t="s">
        <v>148</v>
      </c>
      <c r="C52" s="0" t="n">
        <v>1</v>
      </c>
      <c r="D52" s="2" t="n">
        <v>0.012</v>
      </c>
      <c r="E52" s="2" t="n">
        <f aca="false">C52*D52</f>
        <v>0.012</v>
      </c>
      <c r="F52" s="0" t="s">
        <v>149</v>
      </c>
      <c r="G52" s="0" t="s">
        <v>146</v>
      </c>
    </row>
    <row r="53" customFormat="false" ht="12.8" hidden="false" customHeight="false" outlineLevel="0" collapsed="false">
      <c r="A53" s="0" t="s">
        <v>150</v>
      </c>
      <c r="B53" s="0" t="s">
        <v>151</v>
      </c>
      <c r="C53" s="0" t="n">
        <v>1</v>
      </c>
      <c r="D53" s="2" t="n">
        <v>0.1</v>
      </c>
      <c r="E53" s="2" t="n">
        <f aca="false">C53*D53</f>
        <v>0.1</v>
      </c>
      <c r="F53" s="0" t="s">
        <v>152</v>
      </c>
      <c r="G53" s="0" t="s">
        <v>153</v>
      </c>
    </row>
    <row r="54" customFormat="false" ht="12.8" hidden="false" customHeight="false" outlineLevel="0" collapsed="false">
      <c r="A54" s="0" t="s">
        <v>154</v>
      </c>
      <c r="B54" s="0" t="s">
        <v>155</v>
      </c>
      <c r="C54" s="0" t="n">
        <v>7</v>
      </c>
      <c r="D54" s="2" t="n">
        <v>0.01</v>
      </c>
      <c r="E54" s="2" t="n">
        <f aca="false">C54*D54</f>
        <v>0.07</v>
      </c>
      <c r="F54" s="0" t="s">
        <v>156</v>
      </c>
      <c r="G54" s="0" t="s">
        <v>157</v>
      </c>
    </row>
    <row r="55" customFormat="false" ht="12.8" hidden="false" customHeight="false" outlineLevel="0" collapsed="false">
      <c r="A55" s="3" t="s">
        <v>158</v>
      </c>
      <c r="B55" s="0" t="s">
        <v>159</v>
      </c>
      <c r="C55" s="0" t="n">
        <v>10</v>
      </c>
      <c r="D55" s="2" t="n">
        <v>0.07</v>
      </c>
      <c r="E55" s="2" t="n">
        <f aca="false">C55*D55</f>
        <v>0.7</v>
      </c>
      <c r="F55" s="0" t="s">
        <v>160</v>
      </c>
      <c r="G55" s="0" t="s">
        <v>161</v>
      </c>
    </row>
    <row r="56" customFormat="false" ht="12.8" hidden="false" customHeight="false" outlineLevel="0" collapsed="false">
      <c r="A56" s="0" t="s">
        <v>162</v>
      </c>
      <c r="B56" s="0" t="s">
        <v>163</v>
      </c>
      <c r="C56" s="0" t="n">
        <v>1</v>
      </c>
      <c r="D56" s="2" t="n">
        <v>0.1</v>
      </c>
      <c r="E56" s="2" t="n">
        <f aca="false">C56*D56</f>
        <v>0.1</v>
      </c>
      <c r="F56" s="0" t="s">
        <v>164</v>
      </c>
      <c r="G56" s="0" t="s">
        <v>165</v>
      </c>
    </row>
    <row r="57" customFormat="false" ht="12.8" hidden="false" customHeight="false" outlineLevel="0" collapsed="false">
      <c r="A57" s="0" t="s">
        <v>166</v>
      </c>
      <c r="B57" s="0" t="s">
        <v>167</v>
      </c>
      <c r="C57" s="0" t="n">
        <v>2</v>
      </c>
      <c r="D57" s="2" t="n">
        <v>0.1</v>
      </c>
      <c r="E57" s="2" t="n">
        <f aca="false">C57*D57</f>
        <v>0.2</v>
      </c>
      <c r="F57" s="0" t="s">
        <v>168</v>
      </c>
      <c r="G57" s="0" t="s">
        <v>169</v>
      </c>
    </row>
    <row r="58" customFormat="false" ht="12.8" hidden="false" customHeight="false" outlineLevel="0" collapsed="false">
      <c r="A58" s="0" t="s">
        <v>170</v>
      </c>
      <c r="B58" s="0" t="s">
        <v>171</v>
      </c>
      <c r="C58" s="0" t="n">
        <v>1</v>
      </c>
      <c r="D58" s="2" t="n">
        <v>0.1</v>
      </c>
      <c r="E58" s="2" t="n">
        <f aca="false">C58*D58</f>
        <v>0.1</v>
      </c>
      <c r="F58" s="0" t="s">
        <v>172</v>
      </c>
      <c r="G58" s="0" t="s">
        <v>173</v>
      </c>
    </row>
    <row r="59" customFormat="false" ht="12.8" hidden="false" customHeight="false" outlineLevel="0" collapsed="false">
      <c r="A59" s="0" t="s">
        <v>174</v>
      </c>
      <c r="B59" s="0" t="s">
        <v>175</v>
      </c>
      <c r="C59" s="0" t="n">
        <v>1</v>
      </c>
      <c r="D59" s="2" t="n">
        <v>0.1</v>
      </c>
      <c r="E59" s="2" t="n">
        <f aca="false">C59*D59</f>
        <v>0.1</v>
      </c>
      <c r="F59" s="0" t="s">
        <v>176</v>
      </c>
      <c r="G59" s="0" t="s">
        <v>177</v>
      </c>
    </row>
    <row r="60" customFormat="false" ht="12.8" hidden="false" customHeight="false" outlineLevel="0" collapsed="false">
      <c r="A60" s="0" t="s">
        <v>178</v>
      </c>
      <c r="B60" s="0" t="s">
        <v>179</v>
      </c>
      <c r="C60" s="0" t="n">
        <v>1</v>
      </c>
      <c r="D60" s="2" t="n">
        <v>0.1</v>
      </c>
      <c r="E60" s="2" t="n">
        <f aca="false">C60*D60</f>
        <v>0.1</v>
      </c>
      <c r="F60" s="0" t="s">
        <v>180</v>
      </c>
      <c r="G60" s="0" t="s">
        <v>181</v>
      </c>
    </row>
    <row r="61" customFormat="false" ht="12.8" hidden="false" customHeight="false" outlineLevel="0" collapsed="false">
      <c r="A61" s="0" t="s">
        <v>182</v>
      </c>
      <c r="B61" s="0" t="s">
        <v>183</v>
      </c>
      <c r="C61" s="0" t="n">
        <v>2</v>
      </c>
      <c r="D61" s="2" t="n">
        <v>0.01</v>
      </c>
      <c r="E61" s="2" t="n">
        <f aca="false">C61*D61</f>
        <v>0.02</v>
      </c>
      <c r="F61" s="0" t="s">
        <v>184</v>
      </c>
      <c r="G61" s="0" t="s">
        <v>185</v>
      </c>
    </row>
    <row r="62" customFormat="false" ht="12.8" hidden="false" customHeight="false" outlineLevel="0" collapsed="false">
      <c r="A62" s="0" t="s">
        <v>186</v>
      </c>
      <c r="B62" s="0" t="s">
        <v>187</v>
      </c>
      <c r="C62" s="0" t="n">
        <v>2</v>
      </c>
      <c r="D62" s="2" t="n">
        <v>0.02</v>
      </c>
      <c r="E62" s="2" t="n">
        <f aca="false">C62*D62</f>
        <v>0.04</v>
      </c>
      <c r="F62" s="0" t="s">
        <v>188</v>
      </c>
      <c r="G62" s="0" t="s">
        <v>189</v>
      </c>
    </row>
    <row r="63" customFormat="false" ht="12.8" hidden="false" customHeight="false" outlineLevel="0" collapsed="false">
      <c r="A63" s="0" t="s">
        <v>190</v>
      </c>
      <c r="B63" s="0" t="s">
        <v>191</v>
      </c>
      <c r="C63" s="0" t="n">
        <v>1</v>
      </c>
      <c r="D63" s="2" t="n">
        <v>0.1</v>
      </c>
      <c r="E63" s="2" t="n">
        <f aca="false">C63*D63</f>
        <v>0.1</v>
      </c>
      <c r="F63" s="0" t="s">
        <v>192</v>
      </c>
      <c r="G63" s="0" t="s">
        <v>193</v>
      </c>
    </row>
    <row r="64" customFormat="false" ht="12.8" hidden="false" customHeight="false" outlineLevel="0" collapsed="false">
      <c r="A64" s="0" t="s">
        <v>194</v>
      </c>
      <c r="B64" s="0" t="s">
        <v>195</v>
      </c>
      <c r="C64" s="0" t="n">
        <v>2</v>
      </c>
      <c r="D64" s="2" t="n">
        <v>0.1</v>
      </c>
      <c r="E64" s="2" t="n">
        <f aca="false">C64*D64</f>
        <v>0.2</v>
      </c>
      <c r="F64" s="0" t="s">
        <v>196</v>
      </c>
      <c r="G64" s="0" t="s">
        <v>197</v>
      </c>
    </row>
    <row r="65" customFormat="false" ht="12.8" hidden="false" customHeight="false" outlineLevel="0" collapsed="false">
      <c r="A65" s="0" t="s">
        <v>198</v>
      </c>
      <c r="B65" s="0" t="s">
        <v>199</v>
      </c>
      <c r="C65" s="0" t="n">
        <v>1</v>
      </c>
      <c r="D65" s="2" t="n">
        <v>0.1</v>
      </c>
      <c r="E65" s="2" t="n">
        <f aca="false">C65*D65</f>
        <v>0.1</v>
      </c>
      <c r="F65" s="0" t="s">
        <v>200</v>
      </c>
      <c r="G65" s="0" t="s">
        <v>201</v>
      </c>
    </row>
    <row r="66" customFormat="false" ht="12.8" hidden="false" customHeight="false" outlineLevel="0" collapsed="false">
      <c r="A66" s="0" t="s">
        <v>202</v>
      </c>
      <c r="B66" s="0" t="s">
        <v>203</v>
      </c>
      <c r="C66" s="0" t="n">
        <v>3</v>
      </c>
      <c r="D66" s="2" t="n">
        <v>0.1</v>
      </c>
      <c r="E66" s="2" t="n">
        <f aca="false">C66*D66</f>
        <v>0.3</v>
      </c>
      <c r="F66" s="0" t="s">
        <v>204</v>
      </c>
      <c r="G66" s="0" t="s">
        <v>205</v>
      </c>
    </row>
    <row r="67" s="4" customFormat="true" ht="12.8" hidden="false" customHeight="false" outlineLevel="0" collapsed="false">
      <c r="A67" s="4" t="s">
        <v>206</v>
      </c>
      <c r="E67" s="5" t="n">
        <f aca="false">SUM(E46:E66)</f>
        <v>4.288</v>
      </c>
    </row>
    <row r="69" s="8" customFormat="true" ht="12.8" hidden="false" customHeight="false" outlineLevel="0" collapsed="false">
      <c r="A69" s="7" t="s">
        <v>207</v>
      </c>
      <c r="B69" s="7"/>
      <c r="E69" s="9" t="n">
        <f aca="false">SUM(E10,E24,E37,E42,E67)</f>
        <v>39.628</v>
      </c>
      <c r="F69" s="7"/>
    </row>
  </sheetData>
  <mergeCells count="5">
    <mergeCell ref="A1:G1"/>
    <mergeCell ref="A13:G13"/>
    <mergeCell ref="A26:G26"/>
    <mergeCell ref="A39:G39"/>
    <mergeCell ref="A44:G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2025-08-15T09:16:58Z</dcterms:created>
  <dc:creator/>
  <dc:description/>
  <dc:language>en-US</dc:language>
  <cp:lastModifiedBy/>
  <dcterms:modified xsi:type="dcterms:W3CDTF">2025-08-18T15:29:25Z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