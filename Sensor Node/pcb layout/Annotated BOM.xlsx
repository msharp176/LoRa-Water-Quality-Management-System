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<sst xmlns="http://schemas.openxmlformats.org/spreadsheetml/2006/main" count="237" uniqueCount="213">
  <si>
    <t xml:space="preserve">Connectors</t>
  </si>
  <si>
    <t xml:space="preserve">Reference</t>
  </si>
  <si>
    <t xml:space="preserve">MFG P/N</t>
  </si>
  <si>
    <t xml:space="preserve">Qty/Board</t>
  </si>
  <si>
    <t xml:space="preserve">Unit Cost</t>
  </si>
  <si>
    <t xml:space="preserve">Ext. Cost</t>
  </si>
  <si>
    <t xml:space="preserve">Description</t>
  </si>
  <si>
    <t xml:space="preserve">Digikey Link</t>
  </si>
  <si>
    <t xml:space="preserve">J1, J3, J5</t>
  </si>
  <si>
    <t xml:space="preserve">OQ0332510000G</t>
  </si>
  <si>
    <t xml:space="preserve">3 Pin Connector, 3.81mm pitch</t>
  </si>
  <si>
    <t xml:space="preserve">https://www.digikey.com/en/products/detail/amphenol-anytek/OQ0332510000G/2261261</t>
  </si>
  <si>
    <t xml:space="preserve">J2</t>
  </si>
  <si>
    <t xml:space="preserve">OQ0232510000G</t>
  </si>
  <si>
    <t xml:space="preserve">2 Pin Connector, 3.81mm pitch</t>
  </si>
  <si>
    <t xml:space="preserve">https://www.digikey.com/en/products/detail/amphenol-anytek/OQ0232510000G/2261255</t>
  </si>
  <si>
    <t xml:space="preserve">J11</t>
  </si>
  <si>
    <t xml:space="preserve">CONBNC002</t>
  </si>
  <si>
    <t xml:space="preserve">BNC connector</t>
  </si>
  <si>
    <t xml:space="preserve">https://www.digikey.com/en/products/detail/amphenol-rf/031-5431-10RFX/2041816?s=N4IgTCBcDaIAwGYCMBaArAFmSpcBKAYgBogC6AvkA</t>
  </si>
  <si>
    <t xml:space="preserve">N/A</t>
  </si>
  <si>
    <t xml:space="preserve">TJ0331530000G</t>
  </si>
  <si>
    <t xml:space="preserve">Mating connector for OQ0332510000G </t>
  </si>
  <si>
    <t xml:space="preserve">https://www.digikey.com/en/products/detail/amphenol-anytek/TJ0331530000G/2261322</t>
  </si>
  <si>
    <t xml:space="preserve">TJ0231530000G</t>
  </si>
  <si>
    <t xml:space="preserve">Mating connector for OQ0232510000G</t>
  </si>
  <si>
    <t xml:space="preserve">https://www.digikey.com/en/products/detail/amphenol-anytek/TJ0231530000G/2261289</t>
  </si>
  <si>
    <t xml:space="preserve">J7</t>
  </si>
  <si>
    <t xml:space="preserve">UJ2-BH-BL1-TH</t>
  </si>
  <si>
    <t xml:space="preserve">USB Type B Female Connector</t>
  </si>
  <si>
    <t xml:space="preserve">https://www.digikey.com/en/products/detail/same-sky-formerly-cui-devices/UJ2-BH-BL1-TH/6188083?s=N4IgTCBcDaIKoCkwFoBCAJNAZAjMgKuiALoC%2BQA</t>
  </si>
  <si>
    <t xml:space="preserve">J8</t>
  </si>
  <si>
    <t xml:space="preserve">SMA-J-P-H-RA-TH1</t>
  </si>
  <si>
    <t xml:space="preserve">SMA antenna connector</t>
  </si>
  <si>
    <t xml:space="preserve">https://www.digikey.com/en/products/detail/samtec-inc/SMA-J-P-H-RA-TH1/2664715</t>
  </si>
  <si>
    <t xml:space="preserve">J10</t>
  </si>
  <si>
    <t xml:space="preserve">3 Pos. Pin Header</t>
  </si>
  <si>
    <t xml:space="preserve">J6, J9</t>
  </si>
  <si>
    <t xml:space="preserve">2 Pos. Pin Header</t>
  </si>
  <si>
    <t xml:space="preserve">Connectors Subtotal</t>
  </si>
  <si>
    <t xml:space="preserve">ICs</t>
  </si>
  <si>
    <t xml:space="preserve">U1,U3</t>
  </si>
  <si>
    <t xml:space="preserve">TMUX1309DYYR</t>
  </si>
  <si>
    <t xml:space="preserve">2x SP4T Switch</t>
  </si>
  <si>
    <t xml:space="preserve">https://www.digikey.com/en/products/detail/texas-instruments/TMUX1309DYYR/13566849</t>
  </si>
  <si>
    <t xml:space="preserve">U2</t>
  </si>
  <si>
    <t xml:space="preserve">LSF0102DCUR</t>
  </si>
  <si>
    <t xml:space="preserve">I2C Level Shifter</t>
  </si>
  <si>
    <t xml:space="preserve">https://www.digikey.com/en/products/detail/texas-instruments/LSF0102DCUR/4806525</t>
  </si>
  <si>
    <t xml:space="preserve">U5</t>
  </si>
  <si>
    <t xml:space="preserve">MX25L3233FM2I-08Q</t>
  </si>
  <si>
    <t xml:space="preserve">32Mbit SPI Flash Memory</t>
  </si>
  <si>
    <t xml:space="preserve">https://www.digikey.com/en/products/detail/macronix/MX25L3233FM2I-08Q/7402342?s=N4IgTCBcDaILIA0wFYAyBmM70DE5gEkBaABgA4BFEAXQF8g</t>
  </si>
  <si>
    <t xml:space="preserve">U6</t>
  </si>
  <si>
    <t xml:space="preserve">MCP3425A0T-E/CH</t>
  </si>
  <si>
    <t xml:space="preserve">16 Bit A/D with I2C Interface</t>
  </si>
  <si>
    <t xml:space="preserve">https://www.digikey.com/en/products/detail/microchip-technology/MCP3425A0T-E-CH/1827893?s=N4IgTCBcDaILIGEAKBmALGArAQQAwBUBaAUQHoEAJEAXQF8g</t>
  </si>
  <si>
    <t xml:space="preserve">U7</t>
  </si>
  <si>
    <t xml:space="preserve">W25Q128JVSIQ TR</t>
  </si>
  <si>
    <t xml:space="preserve">128MBit QSPI Program Memory</t>
  </si>
  <si>
    <t xml:space="preserve">https://www.digikey.com/en/products/detail/winbond-electronics/W25Q128JVSIQ/5803943</t>
  </si>
  <si>
    <t xml:space="preserve">U8</t>
  </si>
  <si>
    <t xml:space="preserve">RP2350_60QFN</t>
  </si>
  <si>
    <t xml:space="preserve">Microcontroller</t>
  </si>
  <si>
    <t xml:space="preserve">https://www.digikey.com/en/products/detail/raspberry-pi/SC1509-13/26241107</t>
  </si>
  <si>
    <t xml:space="preserve">U9,U10</t>
  </si>
  <si>
    <t xml:space="preserve">TPS63000DRCR</t>
  </si>
  <si>
    <t xml:space="preserve">1.6A Buck-Boost Converter</t>
  </si>
  <si>
    <t xml:space="preserve">https://www.digikey.com/en/products/detail/texas-instruments/TPS63000DRCR/1016474</t>
  </si>
  <si>
    <t xml:space="preserve">U11</t>
  </si>
  <si>
    <t xml:space="preserve">LMV324IPWR</t>
  </si>
  <si>
    <t xml:space="preserve">Quad Rail-To-Rail Op-Amp</t>
  </si>
  <si>
    <t xml:space="preserve">https://www.digikey.com/en/products/detail/texas-instruments/LMV324IPWR/381071</t>
  </si>
  <si>
    <t xml:space="preserve">U12,U13</t>
  </si>
  <si>
    <t xml:space="preserve">MCP4651T-503E/ML</t>
  </si>
  <si>
    <t xml:space="preserve">50kOhm 2x Digital Potentiometer with I2C Interface</t>
  </si>
  <si>
    <t xml:space="preserve">https://www.digikey.com/en/products/detail/microchip-technology/MCP4651T-503E-ML/2059719?s=N4IgTCBcDaILIGEAKAWAbAVgIwBUC0GADAMwCiA9HADIgC6AvkA</t>
  </si>
  <si>
    <t xml:space="preserve">ICs Subtotal</t>
  </si>
  <si>
    <t xml:space="preserve">Specialized Components</t>
  </si>
  <si>
    <t xml:space="preserve">D1,D2</t>
  </si>
  <si>
    <t xml:space="preserve">B240AE-13</t>
  </si>
  <si>
    <t xml:space="preserve">Schottky Diode</t>
  </si>
  <si>
    <t xml:space="preserve">https://www.digikey.com/en/products/detail/diodes-incorporated/B240AE-13/7352825</t>
  </si>
  <si>
    <t xml:space="preserve">D10, D14, D15, D16, D5, D6, D9</t>
  </si>
  <si>
    <t xml:space="preserve">T5V0S5A-7</t>
  </si>
  <si>
    <t xml:space="preserve">5V TVS</t>
  </si>
  <si>
    <t xml:space="preserve">https://www.digikey.com/en/products/detail/diodes-incorporated/T5V0S5A-7/17840287?s=N4IgTCBcDaICoFYBqAGAyggggWgOwgF0BfIA</t>
  </si>
  <si>
    <t xml:space="preserve">D3</t>
  </si>
  <si>
    <t xml:space="preserve">T3V3S5A-7</t>
  </si>
  <si>
    <t xml:space="preserve">3.3V TVS</t>
  </si>
  <si>
    <t xml:space="preserve">https://www.digikey.com/en/products/detail/diodes-incorporated/T3V3S5A-7/17840278?s=N4IgTCBcDaICoGYBqCDKBWAggWgOwgF0BfIA</t>
  </si>
  <si>
    <t xml:space="preserve">D11,D12,D13</t>
  </si>
  <si>
    <t xml:space="preserve">KT EELP41.12-S2U1-25-2X4Y-5-R18 </t>
  </si>
  <si>
    <t xml:space="preserve">Green LED</t>
  </si>
  <si>
    <t xml:space="preserve">https://www.digikey.com/en/products/detail/ams-osram-usa-inc/KT-EELP41-12-S2U1-25-2X4Y-5-R18/24765233?s=N4IgTCBcDaINIBUAEBRFAZACgFgIwDpcwBaAZTAFVdiwBWGgDWwE1j6AlXADiRAF0AvkA</t>
  </si>
  <si>
    <t xml:space="preserve">D7</t>
  </si>
  <si>
    <t xml:space="preserve">ESDARF02-1BU2CK</t>
  </si>
  <si>
    <t xml:space="preserve">3.3V 3GHz BW TVS Diode</t>
  </si>
  <si>
    <t xml:space="preserve">https://www.digikey.com/en/products/detail/stmicroelectronics/ESDARF02-1BU2CK/5768407?s=N4IgTCBcDaIKIGUAiBBASgMQAxgLQEYAhAVTAGEBpEAXQF8g</t>
  </si>
  <si>
    <t xml:space="preserve">D8</t>
  </si>
  <si>
    <t xml:space="preserve">KR EELP41.22-Q1S1-36-A8J8-020-R18 </t>
  </si>
  <si>
    <t xml:space="preserve">Red LED</t>
  </si>
  <si>
    <t xml:space="preserve">https://www.digikey.com/en/products/detail/ams-osram-usa-inc/KR-EELP41-22-Q1S1-36-A8J8-020-R18/24765238?s=N4IgTCBcDaINICUAEBRFAZACgFgIwDowwBaARVwGVdiBmANmIEEAOAKWeIAYxPiFdmSEAF0AvkA</t>
  </si>
  <si>
    <t xml:space="preserve">Y1</t>
  </si>
  <si>
    <t xml:space="preserve">ABM8-272-T3</t>
  </si>
  <si>
    <t xml:space="preserve">12MHz XTAL Oscillator</t>
  </si>
  <si>
    <t xml:space="preserve">https://www.digikey.com/en/products/detail/abracon-llc/ABM8-272-T3/22472366?s=N4IgTCBcDaIIICECyAOAtGA7GNAVAzCALoC%2BQA</t>
  </si>
  <si>
    <t xml:space="preserve">L2,L3</t>
  </si>
  <si>
    <t xml:space="preserve">LQH3NPZ2R2MMEL</t>
  </si>
  <si>
    <t xml:space="preserve">Buck-Boost Converter Inductor</t>
  </si>
  <si>
    <t xml:space="preserve">https://www.digikey.com/en/products/detail/murata-electronics/LQH3NPZ2R2MMEL/6799398?s=N4IgTCBcDaIDIEUASBmAcgBQFpgEpgFkCBROEAXQF8g</t>
  </si>
  <si>
    <t xml:space="preserve">L1</t>
  </si>
  <si>
    <t xml:space="preserve">AOTA-B201610S3R3-101-T</t>
  </si>
  <si>
    <t xml:space="preserve">RP2350 DC-DC Inductor with Guaranteed Winding Direction</t>
  </si>
  <si>
    <t xml:space="preserve">https://www.digikey.com/en/products/detail/abracon-llc/AOTA-B201610S3R3-101-T/25621527?s=N4IgTCBcDaIIIHkAqcC0AhMAGAjANhywGUBmAJRNUJ1SRAF0BfIA</t>
  </si>
  <si>
    <t xml:space="preserve">L4</t>
  </si>
  <si>
    <t xml:space="preserve">RMCF0402ZT0R00</t>
  </si>
  <si>
    <t xml:space="preserve">Jumper for Pi Filter</t>
  </si>
  <si>
    <t xml:space="preserve">https://www.digikey.com/en/products/detail/stackpole-electronics-inc/RMCF0402ZT0R00/1756905</t>
  </si>
  <si>
    <t xml:space="preserve">Specialized Components Subtotal</t>
  </si>
  <si>
    <t xml:space="preserve">Components</t>
  </si>
  <si>
    <t xml:space="preserve">R10, R39, R40</t>
  </si>
  <si>
    <t xml:space="preserve">RNCF0805DTE100R</t>
  </si>
  <si>
    <t xml:space="preserve">100R (0.5%)</t>
  </si>
  <si>
    <t xml:space="preserve">https://www.digikey.com/en/products/detail/stackpole-electronics-inc/RNCF0805DTE100R/1708180?s=N4IgTCBcDaIEoDkDCAxADADjQVgCIBUBRARjTThAF0BfIA</t>
  </si>
  <si>
    <t xml:space="preserve">R1</t>
  </si>
  <si>
    <t xml:space="preserve">RMCF0805ZT0R00</t>
  </si>
  <si>
    <t xml:space="preserve">Jumper (qty 10. cheaper than qty. 1)</t>
  </si>
  <si>
    <t xml:space="preserve">https://www.digikey.com/en/products/detail/stackpole-electronics-inc/RMCF0805ZT0R00/1756901?s=N4IgTCBcDaIEoFkDCAxADADjQVgFoBU0400QBdAXyA</t>
  </si>
  <si>
    <t xml:space="preserve">R11</t>
  </si>
  <si>
    <t xml:space="preserve">RMCF0805FT200K</t>
  </si>
  <si>
    <t xml:space="preserve">200k</t>
  </si>
  <si>
    <t xml:space="preserve">https://www.digikey.com/en/products/detail/stackpole-electronics-inc/RMCF0805FT200K/1760341?s=N4IgTCBcDaIEoFkDCAxADADjQVhQFTDTQGkQBdAXyA</t>
  </si>
  <si>
    <t xml:space="preserve">R12, R13, R37, R38</t>
  </si>
  <si>
    <t xml:space="preserve">RNCP0805FTD4K02</t>
  </si>
  <si>
    <t xml:space="preserve">4k</t>
  </si>
  <si>
    <t xml:space="preserve">https://www.digikey.com/en/products/detail/stackpole-electronics-inc/RNCP0805FTD4K02/2240247?s=N4IgTCBcDaIEoDkDCAFADADjQVgGIBUARAFgGk0IBdAXyA</t>
  </si>
  <si>
    <t xml:space="preserve">R14, R15, R16, R18, R23, R24, R25, R26, R27, R28, R29, R3, R30, R31, R32, R4, R5</t>
  </si>
  <si>
    <t xml:space="preserve">RNCF0805DTE10K0</t>
  </si>
  <si>
    <t xml:space="preserve">10k (0.5%)</t>
  </si>
  <si>
    <t xml:space="preserve">https://www.digikey.com/en/products/detail/stackpole-electronics-inc/RNCF0805DTE10K0/1708247</t>
  </si>
  <si>
    <t xml:space="preserve">R17, R20</t>
  </si>
  <si>
    <t xml:space="preserve">RMCF0805FT1K00</t>
  </si>
  <si>
    <t xml:space="preserve">1k</t>
  </si>
  <si>
    <t xml:space="preserve">https://www.digikey.com/en/products/detail/stackpole-electronics-inc/RMCF0805FT1K00/1760090?s=N4IgTCBcDaIEoFkDCAxADADjQVhQFQEYBpNNEAXQF8g</t>
  </si>
  <si>
    <t xml:space="preserve">R19</t>
  </si>
  <si>
    <t xml:space="preserve">RMCF0805FT33R0</t>
  </si>
  <si>
    <t xml:space="preserve">33R</t>
  </si>
  <si>
    <t xml:space="preserve">https://www.digikey.com/en/products/detail/stackpole-electronics-inc/RMCF0805FT33R0/1760586?s=N4IgTCBcDaIEoFkDCAxADADjQVhQFQGYC40QBdAXyA</t>
  </si>
  <si>
    <t xml:space="preserve">R2</t>
  </si>
  <si>
    <t xml:space="preserve">RMCF0805FT4K70</t>
  </si>
  <si>
    <t xml:space="preserve">4.7k</t>
  </si>
  <si>
    <t xml:space="preserve">https://www.digikey.com/en/products/detail/stackpole-electronics-inc/RMCF0805FT4K70/1760659?s=N4IgTCBcDaIEoFkDCAxADADjQVhQFQBYBpAdjRAF0BfIA</t>
  </si>
  <si>
    <t xml:space="preserve">R21, R22</t>
  </si>
  <si>
    <t xml:space="preserve">RMCF0805FT27R0</t>
  </si>
  <si>
    <t xml:space="preserve">27R</t>
  </si>
  <si>
    <t xml:space="preserve">https://www.digikey.com/en/products/detail/stackpole-electronics-inc/RMCF0805FT27R0/1712920?s=N4IgTCBcDaIEoFkDCAxADADjQVhQFTAHY40QBdAXyA</t>
  </si>
  <si>
    <t xml:space="preserve">R33</t>
  </si>
  <si>
    <t xml:space="preserve">RMCF0805FT71R5</t>
  </si>
  <si>
    <t xml:space="preserve">70R</t>
  </si>
  <si>
    <t xml:space="preserve">https://www.digikey.com/en/products/detail/stackpole-electronics-inc/RMCF0805FT71R5/1760525?s=N4IgjCBcpgbFoDGUBmBDANgZwKYBoQB7KAbRAGYBOcgJkpAF0CAHAFyhAGVWAnASwB2AcxABfAjQAMADgCsCEMkjps%2BIqRAB2MADpZAAgDyACwC2WRi3aQQAVQF9WhlAFkcaLAFceOMQQC0ENCKqJi4BMSQZJrk0oziIP40Ckq8nmqRZPIMCf70wak86REaEDkJyVFcLgAi%2Bj5YfFishDyWIPDBfAAmHIGSEFYcIASsAJ7MvjYeyKKiQA</t>
  </si>
  <si>
    <t xml:space="preserve">R34, R35, R36</t>
  </si>
  <si>
    <t xml:space="preserve">RMCF0805FT160R</t>
  </si>
  <si>
    <t xml:space="preserve">160R</t>
  </si>
  <si>
    <t xml:space="preserve">https://www.digikey.com/en/products/detail/stackpole-electronics-inc/RMCF0805FT160R/1712729</t>
  </si>
  <si>
    <t xml:space="preserve">R41, R7, R9</t>
  </si>
  <si>
    <t xml:space="preserve">RNCF0805BTE100K</t>
  </si>
  <si>
    <t xml:space="preserve">100k (0.1%)</t>
  </si>
  <si>
    <t xml:space="preserve">https://www.digikey.com/en/products/detail/stackpole-electronics-inc/RNCF0805BTE100K/1710369?s=N4IgTCBcDaIEoDkDCAxADADjQVgEIBUBRARjTQGkQBdAXyA</t>
  </si>
  <si>
    <t xml:space="preserve">R6</t>
  </si>
  <si>
    <t xml:space="preserve">RNCF0805DTE560K</t>
  </si>
  <si>
    <t xml:space="preserve">560k (0.5%)</t>
  </si>
  <si>
    <t xml:space="preserve">https://www.digikey.com/en/products/detail/stackpole-electronics-inc/RNCF0805DTE560K/6242075?s=N4IgjCBcoMxaBjKAzAhgGwM4FMA0IB7KAbRAE4B2ANhAF18AHAFyhAGUmAnASwDsBzEAF98YGtBBJIaLHkIkQMMjABMZOoxaR2XPoJEgVABgAcAVniSUGHPiKRSZqkYAEAawDyACwC2mDSDMrACqvNxMHsgAstiomACunNjC%2BAC0EBJSMrbyDiAUMCZ0BqkqllJc8XL2jsVp6plQldUKELRCBmV5bFEAIi5JmNyYTAScAeKg3AAmrOlGEJqsIPhMAJ4MydpxSB1AA</t>
  </si>
  <si>
    <t xml:space="preserve">R8</t>
  </si>
  <si>
    <t xml:space="preserve">RNCF0805DTE910K</t>
  </si>
  <si>
    <t xml:space="preserve">910k (0.5%)</t>
  </si>
  <si>
    <t xml:space="preserve">https://www.digikey.com/en/products/detail/stackpole-electronics-inc/RNCF0805DTE910K/6242097</t>
  </si>
  <si>
    <t xml:space="preserve">C1, C2</t>
  </si>
  <si>
    <t xml:space="preserve">CL21A226MAYNNNE</t>
  </si>
  <si>
    <t xml:space="preserve">22uF</t>
  </si>
  <si>
    <t xml:space="preserve">https://www.digikey.com/en/products/detail/samsung-electro-mechanics/CL21A226MAYNNNE/10479857?s=N4IgTCBcDaIMIBkwEYCCYwDYCyqCaAckQKIgC6AvkA</t>
  </si>
  <si>
    <t xml:space="preserve">C10, C12, C14, C19, C22, C23, C24, C25, C26, C27, C28, C29, C30, C31, C32, C33, C34, C37, C38, C5, C6, C7, C8, C9</t>
  </si>
  <si>
    <t xml:space="preserve">KGM21NR71E104KT</t>
  </si>
  <si>
    <t xml:space="preserve">100n</t>
  </si>
  <si>
    <t xml:space="preserve">https://www.digikey.com/en/products/detail/kyocera-avx/KGM21NR71E104KT/1116281?s=N4IgTCBcDaINIHECyYCMA5ASgdlQUVQAYAWOAFRAF0BfIA</t>
  </si>
  <si>
    <t xml:space="preserve">C11, C17, C18, C20, C21</t>
  </si>
  <si>
    <t xml:space="preserve">CL21A475KPFNNNE</t>
  </si>
  <si>
    <t xml:space="preserve">4.7u (qty &gt; 10)</t>
  </si>
  <si>
    <t xml:space="preserve">https://www.digikey.com/en/products/detail/samsung-electro-mechanics/CL21A475KPFNNNE/3886917?s=N4IgTCBcDaIMIBkwEYCCAWA7AVgNIAUAxAOVIFEQBdAXyA</t>
  </si>
  <si>
    <t xml:space="preserve">C15, C16</t>
  </si>
  <si>
    <t xml:space="preserve">GMC21CG150J50NT</t>
  </si>
  <si>
    <t xml:space="preserve">15p (qty &gt; 10)</t>
  </si>
  <si>
    <t xml:space="preserve">https://www.digikey.com/en/products/detail/cal-chip-electronics-inc/GMC21CG150J50NT/22256323</t>
  </si>
  <si>
    <t xml:space="preserve">C3, C4</t>
  </si>
  <si>
    <t xml:space="preserve">GRM31CR61A476ME15L</t>
  </si>
  <si>
    <t xml:space="preserve">47uF</t>
  </si>
  <si>
    <t xml:space="preserve">https://www.digikey.com/en/products/detail/murata-electronics/GRM31CR61A476ME15L/2334879</t>
  </si>
  <si>
    <t xml:space="preserve">C39</t>
  </si>
  <si>
    <t xml:space="preserve">CC0805CRNPO9BN4R0</t>
  </si>
  <si>
    <t xml:space="preserve">4p</t>
  </si>
  <si>
    <t xml:space="preserve">https://www.digikey.com/en/products/detail/yageo/CC0805CRNPO9BN4R0/302827?s=N4IgTCBcDaIMJwAwA5EFY4CUByAFA8gJwBC2ALJoiALoC%2BQA</t>
  </si>
  <si>
    <t xml:space="preserve">C40</t>
  </si>
  <si>
    <t xml:space="preserve">CC0805CRNPO9BN2R4</t>
  </si>
  <si>
    <t xml:space="preserve">2.4p</t>
  </si>
  <si>
    <t xml:space="preserve">https://www.digikey.com/en/products/detail/yageo/CC0805CRNPO9BN2R4/5883895?s=N4IgTCBcDaIMJwAwA5EFY4CUByAFA8gJwBC2YmALCALoC%2BQA</t>
  </si>
  <si>
    <t xml:space="preserve">Components Subtotal</t>
  </si>
  <si>
    <t xml:space="preserve">Integrated Modules</t>
  </si>
  <si>
    <t xml:space="preserve">U4</t>
  </si>
  <si>
    <t xml:space="preserve">Core1262 HF</t>
  </si>
  <si>
    <t xml:space="preserve">LoRa Modulator</t>
  </si>
  <si>
    <t xml:space="preserve">https://www.waveshare.com/core1262-868m.htm</t>
  </si>
  <si>
    <t xml:space="preserve">Integrated Modules Subtotal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</si>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</sst>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1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B82" activeCellId="0" sqref="B8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0.76"/>
    <col collapsed="false" customWidth="true" hidden="false" outlineLevel="0" max="2" min="2" style="0" width="33.94"/>
    <col collapsed="false" customWidth="true" hidden="false" outlineLevel="0" max="6" min="6" style="0" width="42.97"/>
  </cols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2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customFormat="false" ht="12.8" hidden="false" customHeight="false" outlineLevel="0" collapsed="false">
      <c r="A3" s="2" t="s">
        <v>8</v>
      </c>
      <c r="B3" s="2" t="s">
        <v>9</v>
      </c>
      <c r="C3" s="2" t="n">
        <v>3</v>
      </c>
      <c r="D3" s="3" t="n">
        <v>0.37</v>
      </c>
      <c r="E3" s="3" t="n">
        <f aca="false">C3*D3</f>
        <v>1.11</v>
      </c>
      <c r="F3" s="2" t="s">
        <v>10</v>
      </c>
      <c r="G3" s="2" t="s">
        <v>11</v>
      </c>
    </row>
    <row r="4" customFormat="false" ht="12.8" hidden="false" customHeight="false" outlineLevel="0" collapsed="false">
      <c r="A4" s="2" t="s">
        <v>12</v>
      </c>
      <c r="B4" s="2" t="s">
        <v>13</v>
      </c>
      <c r="C4" s="2" t="n">
        <v>1</v>
      </c>
      <c r="D4" s="3" t="n">
        <v>0.27</v>
      </c>
      <c r="E4" s="3" t="n">
        <f aca="false">C4*D4</f>
        <v>0.27</v>
      </c>
      <c r="F4" s="2" t="s">
        <v>14</v>
      </c>
      <c r="G4" s="2" t="s">
        <v>15</v>
      </c>
    </row>
    <row r="5" customFormat="false" ht="12.8" hidden="false" customHeight="false" outlineLevel="0" collapsed="false">
      <c r="A5" s="0" t="s">
        <v>16</v>
      </c>
      <c r="B5" s="2" t="s">
        <v>17</v>
      </c>
      <c r="C5" s="2" t="n">
        <v>1</v>
      </c>
      <c r="D5" s="3" t="n">
        <v>2.05</v>
      </c>
      <c r="E5" s="3" t="n">
        <f aca="false">C5*D5</f>
        <v>2.05</v>
      </c>
      <c r="F5" s="2" t="s">
        <v>18</v>
      </c>
      <c r="G5" s="2" t="s">
        <v>19</v>
      </c>
    </row>
    <row r="6" customFormat="false" ht="12.8" hidden="false" customHeight="false" outlineLevel="0" collapsed="false">
      <c r="A6" s="2" t="s">
        <v>20</v>
      </c>
      <c r="B6" s="2" t="s">
        <v>21</v>
      </c>
      <c r="C6" s="2" t="n">
        <v>3</v>
      </c>
      <c r="D6" s="3" t="n">
        <v>0.97</v>
      </c>
      <c r="E6" s="3" t="n">
        <f aca="false">C6*D6</f>
        <v>2.91</v>
      </c>
      <c r="F6" s="4" t="s">
        <v>22</v>
      </c>
      <c r="G6" s="2" t="s">
        <v>23</v>
      </c>
    </row>
    <row r="7" customFormat="false" ht="12.8" hidden="false" customHeight="false" outlineLevel="0" collapsed="false">
      <c r="A7" s="2" t="s">
        <v>20</v>
      </c>
      <c r="B7" s="2" t="s">
        <v>24</v>
      </c>
      <c r="C7" s="2" t="n">
        <v>1</v>
      </c>
      <c r="D7" s="3" t="n">
        <v>0.67</v>
      </c>
      <c r="E7" s="3" t="n">
        <f aca="false">C7*D7</f>
        <v>0.67</v>
      </c>
      <c r="F7" s="2" t="s">
        <v>25</v>
      </c>
      <c r="G7" s="2" t="s">
        <v>26</v>
      </c>
    </row>
    <row r="8" customFormat="false" ht="12.8" hidden="false" customHeight="false" outlineLevel="0" collapsed="false">
      <c r="A8" s="2" t="s">
        <v>27</v>
      </c>
      <c r="B8" s="2" t="s">
        <v>28</v>
      </c>
      <c r="C8" s="2" t="n">
        <v>1</v>
      </c>
      <c r="D8" s="3" t="n">
        <v>0.51</v>
      </c>
      <c r="E8" s="3" t="n">
        <f aca="false">C8*D8</f>
        <v>0.51</v>
      </c>
      <c r="F8" s="2" t="s">
        <v>29</v>
      </c>
      <c r="G8" s="2" t="s">
        <v>30</v>
      </c>
    </row>
    <row r="9" customFormat="false" ht="12.8" hidden="false" customHeight="false" outlineLevel="0" collapsed="false">
      <c r="A9" s="2" t="s">
        <v>31</v>
      </c>
      <c r="B9" s="2" t="s">
        <v>32</v>
      </c>
      <c r="C9" s="2" t="n">
        <v>1</v>
      </c>
      <c r="D9" s="3" t="n">
        <v>3.43</v>
      </c>
      <c r="E9" s="3" t="n">
        <f aca="false">C9*D9</f>
        <v>3.43</v>
      </c>
      <c r="F9" s="2" t="s">
        <v>33</v>
      </c>
      <c r="G9" s="2" t="s">
        <v>34</v>
      </c>
    </row>
    <row r="10" customFormat="false" ht="12.8" hidden="false" customHeight="false" outlineLevel="0" collapsed="false">
      <c r="A10" s="2" t="s">
        <v>35</v>
      </c>
      <c r="B10" s="2" t="s">
        <v>36</v>
      </c>
      <c r="C10" s="2" t="n">
        <v>1</v>
      </c>
      <c r="D10" s="3" t="n">
        <v>0</v>
      </c>
      <c r="E10" s="3" t="n">
        <f aca="false">C10*D10</f>
        <v>0</v>
      </c>
      <c r="F10" s="2" t="s">
        <v>36</v>
      </c>
      <c r="G10" s="2"/>
    </row>
    <row r="11" customFormat="false" ht="12.8" hidden="false" customHeight="false" outlineLevel="0" collapsed="false">
      <c r="A11" s="2" t="s">
        <v>37</v>
      </c>
      <c r="B11" s="2" t="s">
        <v>38</v>
      </c>
      <c r="C11" s="2" t="n">
        <v>2</v>
      </c>
      <c r="D11" s="3" t="n">
        <v>0</v>
      </c>
      <c r="E11" s="3" t="n">
        <f aca="false">C11*D11</f>
        <v>0</v>
      </c>
      <c r="F11" s="2" t="s">
        <v>38</v>
      </c>
      <c r="G11" s="2"/>
    </row>
    <row r="12" customFormat="false" ht="12.8" hidden="false" customHeight="false" outlineLevel="0" collapsed="false">
      <c r="A12" s="5" t="s">
        <v>39</v>
      </c>
      <c r="B12" s="5"/>
      <c r="C12" s="5"/>
      <c r="D12" s="5"/>
      <c r="E12" s="6" t="n">
        <f aca="false">SUM(E3:E11)</f>
        <v>10.95</v>
      </c>
      <c r="F12" s="5"/>
      <c r="G12" s="5"/>
    </row>
    <row r="14" customFormat="false" ht="12.8" hidden="false" customHeight="false" outlineLevel="0" collapsed="false">
      <c r="A14" s="7" t="s">
        <v>40</v>
      </c>
      <c r="B14" s="7"/>
      <c r="C14" s="7"/>
      <c r="D14" s="7"/>
      <c r="E14" s="7"/>
      <c r="F14" s="7"/>
      <c r="G14" s="7"/>
    </row>
    <row r="15" customFormat="false" ht="12.8" hidden="false" customHeight="false" outlineLevel="0" collapsed="false">
      <c r="A15" s="4" t="s">
        <v>1</v>
      </c>
      <c r="B15" s="4" t="s">
        <v>2</v>
      </c>
      <c r="C15" s="4" t="s">
        <v>3</v>
      </c>
      <c r="D15" s="4" t="s">
        <v>4</v>
      </c>
      <c r="E15" s="4" t="s">
        <v>5</v>
      </c>
      <c r="F15" s="4" t="s">
        <v>6</v>
      </c>
      <c r="G15" s="4" t="s">
        <v>7</v>
      </c>
    </row>
    <row r="16" customFormat="false" ht="12.8" hidden="false" customHeight="false" outlineLevel="0" collapsed="false">
      <c r="A16" s="2" t="s">
        <v>41</v>
      </c>
      <c r="B16" s="2" t="s">
        <v>42</v>
      </c>
      <c r="C16" s="2" t="n">
        <v>2</v>
      </c>
      <c r="D16" s="3" t="n">
        <v>0.32</v>
      </c>
      <c r="E16" s="3" t="n">
        <f aca="false">C16*D16</f>
        <v>0.64</v>
      </c>
      <c r="F16" s="2" t="s">
        <v>43</v>
      </c>
      <c r="G16" s="2" t="s">
        <v>44</v>
      </c>
    </row>
    <row r="17" customFormat="false" ht="12.8" hidden="false" customHeight="false" outlineLevel="0" collapsed="false">
      <c r="A17" s="2" t="s">
        <v>45</v>
      </c>
      <c r="B17" s="2" t="s">
        <v>46</v>
      </c>
      <c r="C17" s="2" t="n">
        <v>1</v>
      </c>
      <c r="D17" s="3" t="n">
        <v>0.43</v>
      </c>
      <c r="E17" s="3" t="n">
        <f aca="false">C17*D17</f>
        <v>0.43</v>
      </c>
      <c r="F17" s="2" t="s">
        <v>47</v>
      </c>
      <c r="G17" s="2" t="s">
        <v>48</v>
      </c>
    </row>
    <row r="18" customFormat="false" ht="12.8" hidden="false" customHeight="false" outlineLevel="0" collapsed="false">
      <c r="A18" s="2" t="s">
        <v>49</v>
      </c>
      <c r="B18" s="2" t="s">
        <v>50</v>
      </c>
      <c r="C18" s="2" t="n">
        <v>1</v>
      </c>
      <c r="D18" s="3" t="n">
        <v>0.48</v>
      </c>
      <c r="E18" s="3" t="n">
        <f aca="false">C18*D18</f>
        <v>0.48</v>
      </c>
      <c r="F18" s="2" t="s">
        <v>51</v>
      </c>
      <c r="G18" s="2" t="s">
        <v>52</v>
      </c>
    </row>
    <row r="19" customFormat="false" ht="12.8" hidden="false" customHeight="false" outlineLevel="0" collapsed="false">
      <c r="A19" s="2" t="s">
        <v>53</v>
      </c>
      <c r="B19" s="2" t="s">
        <v>54</v>
      </c>
      <c r="C19" s="2" t="n">
        <v>1</v>
      </c>
      <c r="D19" s="3" t="n">
        <v>2.48</v>
      </c>
      <c r="E19" s="3" t="n">
        <f aca="false">C19*D19</f>
        <v>2.48</v>
      </c>
      <c r="F19" s="2" t="s">
        <v>55</v>
      </c>
      <c r="G19" s="2" t="s">
        <v>56</v>
      </c>
    </row>
    <row r="20" customFormat="false" ht="12.8" hidden="false" customHeight="false" outlineLevel="0" collapsed="false">
      <c r="A20" s="2" t="s">
        <v>57</v>
      </c>
      <c r="B20" s="2" t="s">
        <v>58</v>
      </c>
      <c r="C20" s="2" t="n">
        <v>1</v>
      </c>
      <c r="D20" s="3" t="n">
        <v>1.85</v>
      </c>
      <c r="E20" s="3" t="n">
        <f aca="false">C20*D20</f>
        <v>1.85</v>
      </c>
      <c r="F20" s="2" t="s">
        <v>59</v>
      </c>
      <c r="G20" s="2" t="s">
        <v>60</v>
      </c>
    </row>
    <row r="21" customFormat="false" ht="12.8" hidden="false" customHeight="false" outlineLevel="0" collapsed="false">
      <c r="A21" s="2" t="s">
        <v>61</v>
      </c>
      <c r="B21" s="2" t="s">
        <v>62</v>
      </c>
      <c r="C21" s="2" t="n">
        <v>1</v>
      </c>
      <c r="D21" s="3" t="n">
        <v>1.1</v>
      </c>
      <c r="E21" s="3" t="n">
        <f aca="false">C21*D21</f>
        <v>1.1</v>
      </c>
      <c r="F21" s="2" t="s">
        <v>63</v>
      </c>
      <c r="G21" s="2" t="s">
        <v>64</v>
      </c>
    </row>
    <row r="22" customFormat="false" ht="12.8" hidden="false" customHeight="false" outlineLevel="0" collapsed="false">
      <c r="A22" s="2" t="s">
        <v>65</v>
      </c>
      <c r="B22" s="2" t="s">
        <v>66</v>
      </c>
      <c r="C22" s="2" t="n">
        <v>2</v>
      </c>
      <c r="D22" s="3" t="n">
        <v>2.61</v>
      </c>
      <c r="E22" s="3" t="n">
        <f aca="false">C22*D22</f>
        <v>5.22</v>
      </c>
      <c r="F22" s="2" t="s">
        <v>67</v>
      </c>
      <c r="G22" s="2" t="s">
        <v>68</v>
      </c>
    </row>
    <row r="23" customFormat="false" ht="12.8" hidden="false" customHeight="false" outlineLevel="0" collapsed="false">
      <c r="A23" s="2" t="s">
        <v>69</v>
      </c>
      <c r="B23" s="2" t="s">
        <v>70</v>
      </c>
      <c r="C23" s="2" t="n">
        <v>1</v>
      </c>
      <c r="D23" s="3" t="n">
        <v>0.44</v>
      </c>
      <c r="E23" s="3" t="n">
        <f aca="false">C23*D23</f>
        <v>0.44</v>
      </c>
      <c r="F23" s="2" t="s">
        <v>71</v>
      </c>
      <c r="G23" s="2" t="s">
        <v>72</v>
      </c>
    </row>
    <row r="24" customFormat="false" ht="12.8" hidden="false" customHeight="false" outlineLevel="0" collapsed="false">
      <c r="A24" s="2" t="s">
        <v>73</v>
      </c>
      <c r="B24" s="2" t="s">
        <v>74</v>
      </c>
      <c r="C24" s="2" t="n">
        <v>2</v>
      </c>
      <c r="D24" s="3" t="n">
        <v>1.24</v>
      </c>
      <c r="E24" s="3" t="n">
        <f aca="false">C24*D24</f>
        <v>2.48</v>
      </c>
      <c r="F24" s="2" t="s">
        <v>75</v>
      </c>
      <c r="G24" s="2" t="s">
        <v>76</v>
      </c>
    </row>
    <row r="25" customFormat="false" ht="12.8" hidden="false" customHeight="false" outlineLevel="0" collapsed="false">
      <c r="A25" s="5" t="s">
        <v>77</v>
      </c>
      <c r="B25" s="5"/>
      <c r="C25" s="5"/>
      <c r="D25" s="6"/>
      <c r="E25" s="6" t="n">
        <f aca="false">SUM(E16:E24)</f>
        <v>15.12</v>
      </c>
      <c r="F25" s="5"/>
      <c r="G25" s="5"/>
    </row>
    <row r="27" customFormat="false" ht="12.8" hidden="false" customHeight="false" outlineLevel="0" collapsed="false">
      <c r="A27" s="1" t="s">
        <v>78</v>
      </c>
      <c r="B27" s="1"/>
      <c r="C27" s="1"/>
      <c r="D27" s="1"/>
      <c r="E27" s="1"/>
      <c r="F27" s="1"/>
      <c r="G27" s="1"/>
    </row>
    <row r="28" customFormat="false" ht="12.8" hidden="false" customHeight="false" outlineLevel="0" collapsed="false">
      <c r="A28" s="2" t="s">
        <v>79</v>
      </c>
      <c r="B28" s="2" t="s">
        <v>80</v>
      </c>
      <c r="C28" s="2" t="n">
        <v>2</v>
      </c>
      <c r="D28" s="3" t="n">
        <v>0.2</v>
      </c>
      <c r="E28" s="3" t="n">
        <f aca="false">C28*D28</f>
        <v>0.4</v>
      </c>
      <c r="F28" s="2" t="s">
        <v>81</v>
      </c>
      <c r="G28" s="2" t="s">
        <v>82</v>
      </c>
    </row>
    <row r="29" customFormat="false" ht="12.8" hidden="false" customHeight="false" outlineLevel="0" collapsed="false">
      <c r="A29" s="0" t="s">
        <v>83</v>
      </c>
      <c r="B29" s="0" t="s">
        <v>84</v>
      </c>
      <c r="C29" s="0" t="n">
        <v>7</v>
      </c>
      <c r="D29" s="3" t="n">
        <v>0.083</v>
      </c>
      <c r="E29" s="3" t="n">
        <f aca="false">C29*D29</f>
        <v>0.581</v>
      </c>
      <c r="F29" s="2" t="s">
        <v>85</v>
      </c>
      <c r="G29" s="2" t="s">
        <v>86</v>
      </c>
    </row>
    <row r="30" customFormat="false" ht="12.8" hidden="false" customHeight="false" outlineLevel="0" collapsed="false">
      <c r="A30" s="0" t="s">
        <v>87</v>
      </c>
      <c r="B30" s="0" t="s">
        <v>88</v>
      </c>
      <c r="C30" s="0" t="n">
        <v>1</v>
      </c>
      <c r="D30" s="3" t="n">
        <v>0.15</v>
      </c>
      <c r="E30" s="3" t="n">
        <f aca="false">C30*D30</f>
        <v>0.15</v>
      </c>
      <c r="F30" s="2" t="s">
        <v>89</v>
      </c>
      <c r="G30" s="2" t="s">
        <v>90</v>
      </c>
    </row>
    <row r="31" customFormat="false" ht="12.8" hidden="false" customHeight="false" outlineLevel="0" collapsed="false">
      <c r="A31" s="2" t="s">
        <v>91</v>
      </c>
      <c r="B31" s="2" t="s">
        <v>92</v>
      </c>
      <c r="C31" s="2" t="n">
        <v>3</v>
      </c>
      <c r="D31" s="3" t="n">
        <v>0.16</v>
      </c>
      <c r="E31" s="3" t="n">
        <f aca="false">C31*D31</f>
        <v>0.48</v>
      </c>
      <c r="F31" s="2" t="s">
        <v>93</v>
      </c>
      <c r="G31" s="2" t="s">
        <v>94</v>
      </c>
    </row>
    <row r="32" customFormat="false" ht="12.8" hidden="false" customHeight="false" outlineLevel="0" collapsed="false">
      <c r="A32" s="0" t="s">
        <v>95</v>
      </c>
      <c r="B32" s="0" t="s">
        <v>96</v>
      </c>
      <c r="C32" s="2" t="n">
        <v>1</v>
      </c>
      <c r="D32" s="3" t="n">
        <v>0.13</v>
      </c>
      <c r="E32" s="3" t="n">
        <f aca="false">C32*D32</f>
        <v>0.13</v>
      </c>
      <c r="F32" s="2" t="s">
        <v>97</v>
      </c>
      <c r="G32" s="2" t="s">
        <v>98</v>
      </c>
    </row>
    <row r="33" customFormat="false" ht="12.8" hidden="false" customHeight="false" outlineLevel="0" collapsed="false">
      <c r="A33" s="4" t="s">
        <v>99</v>
      </c>
      <c r="B33" s="4" t="s">
        <v>100</v>
      </c>
      <c r="C33" s="4" t="n">
        <v>1</v>
      </c>
      <c r="D33" s="3" t="n">
        <v>0.14</v>
      </c>
      <c r="E33" s="3" t="n">
        <f aca="false">C33*D33</f>
        <v>0.14</v>
      </c>
      <c r="F33" s="4" t="s">
        <v>101</v>
      </c>
      <c r="G33" s="4" t="s">
        <v>102</v>
      </c>
    </row>
    <row r="34" customFormat="false" ht="12.8" hidden="false" customHeight="false" outlineLevel="0" collapsed="false">
      <c r="A34" s="2" t="s">
        <v>103</v>
      </c>
      <c r="B34" s="4" t="s">
        <v>104</v>
      </c>
      <c r="C34" s="2" t="n">
        <v>1</v>
      </c>
      <c r="D34" s="3" t="n">
        <v>0.54</v>
      </c>
      <c r="E34" s="3" t="n">
        <f aca="false">C34*D34</f>
        <v>0.54</v>
      </c>
      <c r="F34" s="2" t="s">
        <v>105</v>
      </c>
      <c r="G34" s="2" t="s">
        <v>106</v>
      </c>
    </row>
    <row r="35" customFormat="false" ht="12.8" hidden="false" customHeight="false" outlineLevel="0" collapsed="false">
      <c r="A35" s="2" t="s">
        <v>107</v>
      </c>
      <c r="B35" s="2" t="s">
        <v>108</v>
      </c>
      <c r="C35" s="2" t="n">
        <v>2</v>
      </c>
      <c r="D35" s="3" t="n">
        <v>0.34</v>
      </c>
      <c r="E35" s="3" t="n">
        <f aca="false">C35*D35</f>
        <v>0.68</v>
      </c>
      <c r="F35" s="2" t="s">
        <v>109</v>
      </c>
      <c r="G35" s="2" t="s">
        <v>110</v>
      </c>
    </row>
    <row r="36" customFormat="false" ht="12.8" hidden="false" customHeight="false" outlineLevel="0" collapsed="false">
      <c r="A36" s="2" t="s">
        <v>111</v>
      </c>
      <c r="B36" s="2" t="s">
        <v>112</v>
      </c>
      <c r="C36" s="2" t="n">
        <v>1</v>
      </c>
      <c r="D36" s="3" t="n">
        <v>0.22</v>
      </c>
      <c r="E36" s="3" t="n">
        <f aca="false">C36*D36</f>
        <v>0.22</v>
      </c>
      <c r="F36" s="2" t="s">
        <v>113</v>
      </c>
      <c r="G36" s="2" t="s">
        <v>114</v>
      </c>
    </row>
    <row r="37" customFormat="false" ht="12.8" hidden="false" customHeight="false" outlineLevel="0" collapsed="false">
      <c r="A37" s="2" t="s">
        <v>115</v>
      </c>
      <c r="B37" s="2" t="s">
        <v>116</v>
      </c>
      <c r="C37" s="2" t="n">
        <v>1</v>
      </c>
      <c r="D37" s="3" t="n">
        <v>0.1</v>
      </c>
      <c r="E37" s="3" t="n">
        <f aca="false">C37*D37</f>
        <v>0.1</v>
      </c>
      <c r="F37" s="2" t="s">
        <v>117</v>
      </c>
      <c r="G37" s="2" t="s">
        <v>118</v>
      </c>
    </row>
    <row r="38" customFormat="false" ht="12.8" hidden="false" customHeight="false" outlineLevel="0" collapsed="false">
      <c r="A38" s="5" t="s">
        <v>119</v>
      </c>
      <c r="B38" s="5"/>
      <c r="C38" s="5"/>
      <c r="D38" s="5"/>
      <c r="E38" s="6" t="n">
        <f aca="false">SUM(E28:E37)</f>
        <v>3.421</v>
      </c>
      <c r="F38" s="5"/>
      <c r="G38" s="5"/>
    </row>
    <row r="40" customFormat="false" ht="12.8" hidden="false" customHeight="false" outlineLevel="0" collapsed="false">
      <c r="A40" s="1" t="s">
        <v>120</v>
      </c>
      <c r="B40" s="1"/>
      <c r="C40" s="1"/>
      <c r="D40" s="1"/>
      <c r="E40" s="1"/>
      <c r="F40" s="1"/>
      <c r="G40" s="1"/>
    </row>
    <row r="41" customFormat="false" ht="12.8" hidden="false" customHeight="false" outlineLevel="0" collapsed="false">
      <c r="A41" s="2" t="s">
        <v>1</v>
      </c>
      <c r="B41" s="4" t="s">
        <v>2</v>
      </c>
      <c r="C41" s="4" t="s">
        <v>3</v>
      </c>
      <c r="D41" s="4" t="s">
        <v>4</v>
      </c>
      <c r="E41" s="4" t="s">
        <v>5</v>
      </c>
      <c r="F41" s="4" t="s">
        <v>6</v>
      </c>
      <c r="G41" s="4" t="s">
        <v>7</v>
      </c>
    </row>
    <row r="42" customFormat="false" ht="12.8" hidden="false" customHeight="false" outlineLevel="0" collapsed="false">
      <c r="A42" s="0" t="s">
        <v>121</v>
      </c>
      <c r="B42" s="2" t="s">
        <v>122</v>
      </c>
      <c r="C42" s="0" t="n">
        <v>3</v>
      </c>
      <c r="D42" s="3" t="n">
        <v>0.1</v>
      </c>
      <c r="E42" s="3" t="n">
        <f aca="false">D42*C42</f>
        <v>0.3</v>
      </c>
      <c r="F42" s="2" t="s">
        <v>123</v>
      </c>
      <c r="G42" s="2" t="s">
        <v>124</v>
      </c>
    </row>
    <row r="43" customFormat="false" ht="12.8" hidden="false" customHeight="false" outlineLevel="0" collapsed="false">
      <c r="A43" s="0" t="s">
        <v>125</v>
      </c>
      <c r="B43" s="0" t="s">
        <v>126</v>
      </c>
      <c r="C43" s="0" t="n">
        <v>1</v>
      </c>
      <c r="D43" s="3" t="n">
        <v>0.01</v>
      </c>
      <c r="E43" s="3" t="n">
        <f aca="false">D43*C43</f>
        <v>0.01</v>
      </c>
      <c r="F43" s="0" t="s">
        <v>127</v>
      </c>
      <c r="G43" s="0" t="s">
        <v>128</v>
      </c>
    </row>
    <row r="44" customFormat="false" ht="12.8" hidden="false" customHeight="false" outlineLevel="0" collapsed="false">
      <c r="A44" s="0" t="s">
        <v>129</v>
      </c>
      <c r="B44" s="0" t="s">
        <v>130</v>
      </c>
      <c r="C44" s="0" t="n">
        <v>1</v>
      </c>
      <c r="D44" s="3" t="n">
        <v>0.1</v>
      </c>
      <c r="E44" s="3" t="n">
        <f aca="false">D44*C44</f>
        <v>0.1</v>
      </c>
      <c r="F44" s="0" t="s">
        <v>131</v>
      </c>
      <c r="G44" s="0" t="s">
        <v>132</v>
      </c>
    </row>
    <row r="45" customFormat="false" ht="12.8" hidden="false" customHeight="false" outlineLevel="0" collapsed="false">
      <c r="A45" s="0" t="s">
        <v>133</v>
      </c>
      <c r="B45" s="0" t="s">
        <v>134</v>
      </c>
      <c r="C45" s="0" t="n">
        <v>4</v>
      </c>
      <c r="D45" s="3" t="n">
        <v>0.1</v>
      </c>
      <c r="E45" s="3" t="n">
        <f aca="false">D45*C45</f>
        <v>0.4</v>
      </c>
      <c r="F45" s="0" t="s">
        <v>135</v>
      </c>
      <c r="G45" s="0" t="s">
        <v>136</v>
      </c>
    </row>
    <row r="46" customFormat="false" ht="12.8" hidden="false" customHeight="false" outlineLevel="0" collapsed="false">
      <c r="A46" s="0" t="s">
        <v>137</v>
      </c>
      <c r="B46" s="0" t="s">
        <v>138</v>
      </c>
      <c r="C46" s="0" t="n">
        <v>17</v>
      </c>
      <c r="D46" s="3" t="n">
        <v>0.027</v>
      </c>
      <c r="E46" s="3" t="n">
        <f aca="false">D46*C46</f>
        <v>0.459</v>
      </c>
      <c r="F46" s="0" t="s">
        <v>139</v>
      </c>
      <c r="G46" s="0" t="s">
        <v>140</v>
      </c>
    </row>
    <row r="47" customFormat="false" ht="12.8" hidden="false" customHeight="false" outlineLevel="0" collapsed="false">
      <c r="A47" s="0" t="s">
        <v>141</v>
      </c>
      <c r="B47" s="0" t="s">
        <v>142</v>
      </c>
      <c r="C47" s="0" t="n">
        <v>2</v>
      </c>
      <c r="D47" s="3" t="n">
        <v>0.1</v>
      </c>
      <c r="E47" s="3" t="n">
        <f aca="false">D47*C47</f>
        <v>0.2</v>
      </c>
      <c r="F47" s="0" t="s">
        <v>143</v>
      </c>
      <c r="G47" s="0" t="s">
        <v>144</v>
      </c>
    </row>
    <row r="48" customFormat="false" ht="12.8" hidden="false" customHeight="false" outlineLevel="0" collapsed="false">
      <c r="A48" s="0" t="s">
        <v>145</v>
      </c>
      <c r="B48" s="0" t="s">
        <v>146</v>
      </c>
      <c r="C48" s="0" t="n">
        <v>1</v>
      </c>
      <c r="D48" s="3" t="n">
        <v>0.1</v>
      </c>
      <c r="E48" s="3" t="n">
        <f aca="false">D48*C48</f>
        <v>0.1</v>
      </c>
      <c r="F48" s="0" t="s">
        <v>147</v>
      </c>
      <c r="G48" s="0" t="s">
        <v>148</v>
      </c>
    </row>
    <row r="49" customFormat="false" ht="12.8" hidden="false" customHeight="false" outlineLevel="0" collapsed="false">
      <c r="A49" s="0" t="s">
        <v>149</v>
      </c>
      <c r="B49" s="0" t="s">
        <v>150</v>
      </c>
      <c r="C49" s="0" t="n">
        <v>1</v>
      </c>
      <c r="D49" s="3" t="n">
        <v>0.1</v>
      </c>
      <c r="E49" s="3" t="n">
        <f aca="false">D49*C49</f>
        <v>0.1</v>
      </c>
      <c r="F49" s="0" t="s">
        <v>151</v>
      </c>
      <c r="G49" s="0" t="s">
        <v>152</v>
      </c>
    </row>
    <row r="50" customFormat="false" ht="12.8" hidden="false" customHeight="false" outlineLevel="0" collapsed="false">
      <c r="A50" s="0" t="s">
        <v>153</v>
      </c>
      <c r="B50" s="0" t="s">
        <v>154</v>
      </c>
      <c r="C50" s="0" t="n">
        <v>2</v>
      </c>
      <c r="D50" s="3" t="n">
        <v>0.1</v>
      </c>
      <c r="E50" s="3" t="n">
        <f aca="false">D50*C50</f>
        <v>0.2</v>
      </c>
      <c r="F50" s="0" t="s">
        <v>155</v>
      </c>
      <c r="G50" s="0" t="s">
        <v>156</v>
      </c>
    </row>
    <row r="51" customFormat="false" ht="12.8" hidden="false" customHeight="false" outlineLevel="0" collapsed="false">
      <c r="A51" s="0" t="s">
        <v>157</v>
      </c>
      <c r="B51" s="0" t="s">
        <v>158</v>
      </c>
      <c r="C51" s="0" t="n">
        <v>1</v>
      </c>
      <c r="D51" s="3" t="n">
        <v>0.1</v>
      </c>
      <c r="E51" s="3" t="n">
        <f aca="false">D51*C51</f>
        <v>0.1</v>
      </c>
      <c r="F51" s="0" t="s">
        <v>159</v>
      </c>
      <c r="G51" s="0" t="s">
        <v>160</v>
      </c>
    </row>
    <row r="52" customFormat="false" ht="12.8" hidden="false" customHeight="false" outlineLevel="0" collapsed="false">
      <c r="A52" s="0" t="s">
        <v>161</v>
      </c>
      <c r="B52" s="0" t="s">
        <v>162</v>
      </c>
      <c r="C52" s="0" t="n">
        <v>3</v>
      </c>
      <c r="D52" s="3" t="n">
        <v>0.1</v>
      </c>
      <c r="E52" s="3" t="n">
        <f aca="false">D52*C52</f>
        <v>0.3</v>
      </c>
      <c r="F52" s="0" t="s">
        <v>163</v>
      </c>
      <c r="G52" s="0" t="s">
        <v>164</v>
      </c>
    </row>
    <row r="53" customFormat="false" ht="12.8" hidden="false" customHeight="false" outlineLevel="0" collapsed="false">
      <c r="A53" s="0" t="s">
        <v>165</v>
      </c>
      <c r="B53" s="0" t="s">
        <v>166</v>
      </c>
      <c r="C53" s="0" t="n">
        <v>3</v>
      </c>
      <c r="D53" s="3" t="n">
        <v>0.12</v>
      </c>
      <c r="E53" s="3" t="n">
        <f aca="false">D53*C53</f>
        <v>0.36</v>
      </c>
      <c r="F53" s="0" t="s">
        <v>167</v>
      </c>
      <c r="G53" s="0" t="s">
        <v>168</v>
      </c>
    </row>
    <row r="54" customFormat="false" ht="12.8" hidden="false" customHeight="false" outlineLevel="0" collapsed="false">
      <c r="A54" s="0" t="s">
        <v>169</v>
      </c>
      <c r="B54" s="0" t="s">
        <v>170</v>
      </c>
      <c r="C54" s="0" t="n">
        <v>1</v>
      </c>
      <c r="D54" s="3" t="n">
        <v>0.1</v>
      </c>
      <c r="E54" s="3" t="n">
        <f aca="false">D54*C54</f>
        <v>0.1</v>
      </c>
      <c r="F54" s="0" t="s">
        <v>171</v>
      </c>
      <c r="G54" s="0" t="s">
        <v>172</v>
      </c>
    </row>
    <row r="55" customFormat="false" ht="12.8" hidden="false" customHeight="false" outlineLevel="0" collapsed="false">
      <c r="A55" s="0" t="s">
        <v>173</v>
      </c>
      <c r="B55" s="0" t="s">
        <v>174</v>
      </c>
      <c r="C55" s="0" t="n">
        <v>1</v>
      </c>
      <c r="D55" s="3" t="n">
        <v>0.1</v>
      </c>
      <c r="E55" s="3" t="n">
        <f aca="false">D55*C55</f>
        <v>0.1</v>
      </c>
      <c r="F55" s="0" t="s">
        <v>175</v>
      </c>
      <c r="G55" s="0" t="s">
        <v>176</v>
      </c>
    </row>
    <row r="56" customFormat="false" ht="12.8" hidden="false" customHeight="false" outlineLevel="0" collapsed="false">
      <c r="A56" s="0" t="s">
        <v>177</v>
      </c>
      <c r="B56" s="0" t="s">
        <v>178</v>
      </c>
      <c r="C56" s="0" t="n">
        <v>2</v>
      </c>
      <c r="D56" s="3" t="n">
        <v>0.11</v>
      </c>
      <c r="E56" s="3" t="n">
        <f aca="false">D56*C56</f>
        <v>0.22</v>
      </c>
      <c r="F56" s="0" t="s">
        <v>179</v>
      </c>
      <c r="G56" s="0" t="s">
        <v>180</v>
      </c>
    </row>
    <row r="57" customFormat="false" ht="12.8" hidden="false" customHeight="false" outlineLevel="0" collapsed="false">
      <c r="A57" s="0" t="s">
        <v>181</v>
      </c>
      <c r="B57" s="0" t="s">
        <v>182</v>
      </c>
      <c r="C57" s="0" t="n">
        <v>24</v>
      </c>
      <c r="D57" s="3" t="n">
        <v>0.008</v>
      </c>
      <c r="E57" s="3" t="n">
        <f aca="false">D57*C57</f>
        <v>0.192</v>
      </c>
      <c r="F57" s="0" t="s">
        <v>183</v>
      </c>
      <c r="G57" s="0" t="s">
        <v>184</v>
      </c>
    </row>
    <row r="58" customFormat="false" ht="12.8" hidden="false" customHeight="false" outlineLevel="0" collapsed="false">
      <c r="A58" s="0" t="s">
        <v>185</v>
      </c>
      <c r="B58" s="0" t="s">
        <v>186</v>
      </c>
      <c r="C58" s="0" t="n">
        <v>5</v>
      </c>
      <c r="D58" s="3" t="n">
        <v>0.048</v>
      </c>
      <c r="E58" s="3" t="n">
        <f aca="false">D58*C58</f>
        <v>0.24</v>
      </c>
      <c r="F58" s="0" t="s">
        <v>187</v>
      </c>
      <c r="G58" s="0" t="s">
        <v>188</v>
      </c>
    </row>
    <row r="59" customFormat="false" ht="12.8" hidden="false" customHeight="false" outlineLevel="0" collapsed="false">
      <c r="A59" s="0" t="s">
        <v>189</v>
      </c>
      <c r="B59" s="0" t="s">
        <v>190</v>
      </c>
      <c r="C59" s="0" t="n">
        <v>2</v>
      </c>
      <c r="D59" s="3" t="n">
        <v>0.033</v>
      </c>
      <c r="E59" s="3" t="n">
        <f aca="false">D59*C59</f>
        <v>0.066</v>
      </c>
      <c r="F59" s="0" t="s">
        <v>191</v>
      </c>
      <c r="G59" s="0" t="s">
        <v>192</v>
      </c>
    </row>
    <row r="60" customFormat="false" ht="12.8" hidden="false" customHeight="false" outlineLevel="0" collapsed="false">
      <c r="A60" s="0" t="s">
        <v>193</v>
      </c>
      <c r="B60" s="0" t="s">
        <v>194</v>
      </c>
      <c r="C60" s="0" t="n">
        <v>2</v>
      </c>
      <c r="D60" s="3" t="n">
        <v>0.38</v>
      </c>
      <c r="E60" s="3" t="n">
        <f aca="false">D60*C60</f>
        <v>0.76</v>
      </c>
      <c r="F60" s="0" t="s">
        <v>195</v>
      </c>
      <c r="G60" s="0" t="s">
        <v>196</v>
      </c>
    </row>
    <row r="61" customFormat="false" ht="12.8" hidden="false" customHeight="false" outlineLevel="0" collapsed="false">
      <c r="A61" s="0" t="s">
        <v>197</v>
      </c>
      <c r="B61" s="0" t="s">
        <v>198</v>
      </c>
      <c r="C61" s="0" t="n">
        <v>1</v>
      </c>
      <c r="D61" s="3" t="n">
        <v>0.11</v>
      </c>
      <c r="E61" s="3" t="n">
        <f aca="false">D61*C61</f>
        <v>0.11</v>
      </c>
      <c r="F61" s="0" t="s">
        <v>199</v>
      </c>
      <c r="G61" s="0" t="s">
        <v>200</v>
      </c>
    </row>
    <row r="62" customFormat="false" ht="12.8" hidden="false" customHeight="false" outlineLevel="0" collapsed="false">
      <c r="A62" s="0" t="s">
        <v>201</v>
      </c>
      <c r="B62" s="0" t="s">
        <v>202</v>
      </c>
      <c r="C62" s="0" t="n">
        <v>1</v>
      </c>
      <c r="D62" s="3" t="n">
        <v>0.11</v>
      </c>
      <c r="E62" s="3" t="n">
        <f aca="false">D62*C62</f>
        <v>0.11</v>
      </c>
      <c r="F62" s="0" t="s">
        <v>203</v>
      </c>
      <c r="G62" s="0" t="s">
        <v>204</v>
      </c>
    </row>
    <row r="63" customFormat="false" ht="12.8" hidden="false" customHeight="false" outlineLevel="0" collapsed="false">
      <c r="A63" s="5" t="s">
        <v>205</v>
      </c>
      <c r="B63" s="5"/>
      <c r="C63" s="5"/>
      <c r="D63" s="5"/>
      <c r="E63" s="6" t="n">
        <f aca="false">SUM(E42:E62)</f>
        <v>4.527</v>
      </c>
      <c r="F63" s="5"/>
      <c r="G63" s="5"/>
    </row>
    <row r="64" customFormat="false" ht="12.8" hidden="false" customHeight="false" outlineLevel="0" collapsed="false">
      <c r="A64" s="5"/>
      <c r="B64" s="5"/>
      <c r="C64" s="5"/>
      <c r="D64" s="5"/>
      <c r="E64" s="6"/>
      <c r="F64" s="5"/>
      <c r="G64" s="5"/>
    </row>
    <row r="65" customFormat="false" ht="12.8" hidden="false" customHeight="false" outlineLevel="0" collapsed="false">
      <c r="A65" s="1" t="s">
        <v>206</v>
      </c>
      <c r="B65" s="1"/>
      <c r="C65" s="1"/>
      <c r="D65" s="1"/>
      <c r="E65" s="1"/>
      <c r="F65" s="1"/>
      <c r="G65" s="1"/>
    </row>
    <row r="66" customFormat="false" ht="12.8" hidden="false" customHeight="false" outlineLevel="0" collapsed="false">
      <c r="A66" s="2" t="s">
        <v>1</v>
      </c>
      <c r="B66" s="4" t="s">
        <v>2</v>
      </c>
      <c r="C66" s="4" t="s">
        <v>3</v>
      </c>
      <c r="D66" s="4" t="s">
        <v>4</v>
      </c>
      <c r="E66" s="4" t="s">
        <v>5</v>
      </c>
      <c r="F66" s="4" t="s">
        <v>6</v>
      </c>
      <c r="G66" s="4" t="s">
        <v>7</v>
      </c>
    </row>
    <row r="67" customFormat="false" ht="12.8" hidden="false" customHeight="false" outlineLevel="0" collapsed="false">
      <c r="A67" s="2" t="s">
        <v>207</v>
      </c>
      <c r="B67" s="2" t="s">
        <v>208</v>
      </c>
      <c r="C67" s="2" t="n">
        <v>1</v>
      </c>
      <c r="D67" s="3" t="n">
        <v>7.99</v>
      </c>
      <c r="E67" s="3" t="n">
        <f aca="false">C67*D67</f>
        <v>7.99</v>
      </c>
      <c r="F67" s="2" t="s">
        <v>209</v>
      </c>
      <c r="G67" s="2" t="s">
        <v>210</v>
      </c>
    </row>
    <row r="68" customFormat="false" ht="12.8" hidden="false" customHeight="false" outlineLevel="0" collapsed="false">
      <c r="A68" s="5" t="s">
        <v>211</v>
      </c>
      <c r="B68" s="5"/>
      <c r="C68" s="5"/>
      <c r="D68" s="5"/>
      <c r="E68" s="6" t="n">
        <f aca="false">SUM(E67)</f>
        <v>7.99</v>
      </c>
      <c r="F68" s="5"/>
      <c r="G68" s="5"/>
    </row>
    <row r="71" customFormat="false" ht="12.8" hidden="false" customHeight="false" outlineLevel="0" collapsed="false">
      <c r="A71" s="8" t="s">
        <v>212</v>
      </c>
      <c r="B71" s="8"/>
      <c r="C71" s="8"/>
      <c r="D71" s="8"/>
      <c r="E71" s="9" t="n">
        <f aca="false">SUM(E12,E25,E38,E63, E68)</f>
        <v>42.008</v>
      </c>
    </row>
  </sheetData>
  <mergeCells count="5">
    <mergeCell ref="A1:G1"/>
    <mergeCell ref="A14:G14"/>
    <mergeCell ref="A27:G27"/>
    <mergeCell ref="A40:G40"/>
    <mergeCell ref="A65:G6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2025-08-21T11:56:57Z</dcterms:created>
  <dc:creator/>
  <dc:description/>
  <dc:language>en-US</dc:language>
  <cp:lastModifiedBy/>
  <dcterms:modified xsi:type="dcterms:W3CDTF">2025-08-21T15:00:09Z</dcterms:modified>
  <cp:revision>5</cp:revision>
  <dc:subject/>
  <dc:title/>
</cp:coreProperties>
</file>