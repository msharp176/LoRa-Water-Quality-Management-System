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har\Documents\capstone\Sensor Node\pcb layout\"/>
    </mc:Choice>
  </mc:AlternateContent>
  <xr:revisionPtr revIDLastSave="0" documentId="13_ncr:1_{17870883-BB2C-40F7-98C8-478B4CDAE67E}" xr6:coauthVersionLast="47" xr6:coauthVersionMax="47" xr10:uidLastSave="{00000000-0000-0000-0000-000000000000}"/>
  <bookViews>
    <workbookView xWindow="4728" yWindow="3084" windowWidth="17280" windowHeight="9960" tabRatio="500" xr2:uid="{00000000-000D-0000-FFFF-FFFF00000000}"/>
  </bookViews>
  <sheets>
    <sheet name="BOM" sheetId="1" r:id="rId1"/>
    <sheet name="Purchasing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3" i="1"/>
  <c r="E56" i="1"/>
  <c r="E55" i="1"/>
  <c r="E61" i="1"/>
  <c r="E62" i="1"/>
  <c r="E63" i="1"/>
  <c r="E71" i="1"/>
  <c r="E72" i="1" s="1"/>
  <c r="E66" i="1"/>
  <c r="E65" i="1"/>
  <c r="E64" i="1"/>
  <c r="E60" i="1"/>
  <c r="E59" i="1"/>
  <c r="E58" i="1"/>
  <c r="E57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37" i="1"/>
  <c r="E36" i="1"/>
  <c r="E35" i="1"/>
  <c r="E34" i="1"/>
  <c r="E33" i="1"/>
  <c r="E32" i="1"/>
  <c r="E31" i="1"/>
  <c r="E30" i="1"/>
  <c r="E29" i="1"/>
  <c r="E25" i="1"/>
  <c r="E24" i="1"/>
  <c r="E22" i="1"/>
  <c r="E21" i="1"/>
  <c r="E20" i="1"/>
  <c r="E19" i="1"/>
  <c r="E18" i="1"/>
  <c r="E17" i="1"/>
  <c r="E16" i="1"/>
  <c r="E11" i="1"/>
  <c r="E10" i="1"/>
  <c r="E9" i="1"/>
  <c r="E8" i="1"/>
  <c r="E7" i="1"/>
  <c r="E6" i="1"/>
  <c r="E5" i="1"/>
  <c r="E4" i="1"/>
  <c r="E3" i="1"/>
  <c r="E26" i="1" l="1"/>
  <c r="E12" i="1"/>
  <c r="E38" i="1"/>
  <c r="E67" i="1"/>
  <c r="E75" i="1" l="1"/>
</calcChain>
</file>

<file path=xl/sharedStrings.xml><?xml version="1.0" encoding="utf-8"?>
<sst xmlns="http://schemas.openxmlformats.org/spreadsheetml/2006/main" count="452" uniqueCount="243">
  <si>
    <t>Connectors</t>
  </si>
  <si>
    <t>Reference</t>
  </si>
  <si>
    <t>MFG P/N</t>
  </si>
  <si>
    <t>Qty/Board</t>
  </si>
  <si>
    <t>Unit Cost</t>
  </si>
  <si>
    <t>Ext. Cost</t>
  </si>
  <si>
    <t>Description</t>
  </si>
  <si>
    <t>Digikey Link</t>
  </si>
  <si>
    <t>OQ0332510000G</t>
  </si>
  <si>
    <t>3 Pin Connector, 3.81mm pitch</t>
  </si>
  <si>
    <t>https://www.digikey.com/en/products/detail/amphenol-anytek/OQ0332510000G/2261261</t>
  </si>
  <si>
    <t>J2</t>
  </si>
  <si>
    <t>OQ0232510000G</t>
  </si>
  <si>
    <t>2 Pin Connector, 3.81mm pitch</t>
  </si>
  <si>
    <t>https://www.digikey.com/en/products/detail/amphenol-anytek/OQ0232510000G/2261255</t>
  </si>
  <si>
    <t>CONBNC002</t>
  </si>
  <si>
    <t>BNC connector</t>
  </si>
  <si>
    <t>https://www.digikey.com/en/products/detail/amphenol-rf/031-5431-10RFX/2041816?s=N4IgTCBcDaIAwGYCMBaArAFmSpcBKAYgBogC6AvkA</t>
  </si>
  <si>
    <t>N/A</t>
  </si>
  <si>
    <t>TJ0331530000G</t>
  </si>
  <si>
    <t xml:space="preserve">Mating connector for OQ0332510000G </t>
  </si>
  <si>
    <t>https://www.digikey.com/en/products/detail/amphenol-anytek/TJ0331530000G/2261322</t>
  </si>
  <si>
    <t>TJ0231530000G</t>
  </si>
  <si>
    <t>Mating connector for OQ0232510000G</t>
  </si>
  <si>
    <t>https://www.digikey.com/en/products/detail/amphenol-anytek/TJ0231530000G/2261289</t>
  </si>
  <si>
    <t>J7</t>
  </si>
  <si>
    <t>UJ2-BH-BL1-TH</t>
  </si>
  <si>
    <t>USB Type B Female Connector</t>
  </si>
  <si>
    <t>https://www.digikey.com/en/products/detail/same-sky-formerly-cui-devices/UJ2-BH-BL1-TH/6188083?s=N4IgTCBcDaIKoCkwFoBCAJNAZAjMgKuiALoC%2BQA</t>
  </si>
  <si>
    <t>J8</t>
  </si>
  <si>
    <t>SMA-J-P-H-RA-TH1</t>
  </si>
  <si>
    <t>SMA antenna connector</t>
  </si>
  <si>
    <t>https://www.digikey.com/en/products/detail/samtec-inc/SMA-J-P-H-RA-TH1/2664715</t>
  </si>
  <si>
    <t>J10</t>
  </si>
  <si>
    <t>3 Pos. Pin Header</t>
  </si>
  <si>
    <t>J6, J9</t>
  </si>
  <si>
    <t>2 Pos. Pin Header</t>
  </si>
  <si>
    <t>Connectors Subtotal</t>
  </si>
  <si>
    <t>ICs</t>
  </si>
  <si>
    <t>2x SP4T Switch</t>
  </si>
  <si>
    <t>U2</t>
  </si>
  <si>
    <t>I2C Level Shifter</t>
  </si>
  <si>
    <t>U5</t>
  </si>
  <si>
    <t>MX25L3233FM2I-08Q</t>
  </si>
  <si>
    <t>32Mbit SPI Flash Memory</t>
  </si>
  <si>
    <t>https://www.digikey.com/en/products/detail/macronix/MX25L3233FM2I-08Q/7402342?s=N4IgTCBcDaILIA0wFYAyBmM70DE5gEkBaABgA4BFEAXQF8g</t>
  </si>
  <si>
    <t>U6</t>
  </si>
  <si>
    <t>MCP3425A0T-E/CH</t>
  </si>
  <si>
    <t>16 Bit A/D with I2C Interface</t>
  </si>
  <si>
    <t>https://www.digikey.com/en/products/detail/microchip-technology/MCP3425A0T-E-CH/1827893?s=N4IgTCBcDaILIGEAKBmALGArAQQAwBUBaAUQHoEAJEAXQF8g</t>
  </si>
  <si>
    <t>U7</t>
  </si>
  <si>
    <t>W25Q128JVSIQ TR</t>
  </si>
  <si>
    <t>128MBit QSPI Program Memory</t>
  </si>
  <si>
    <t>https://www.digikey.com/en/products/detail/winbond-electronics/W25Q128JVSIQ/5803943</t>
  </si>
  <si>
    <t>U8</t>
  </si>
  <si>
    <t>RP2350_60QFN</t>
  </si>
  <si>
    <t>Microcontroller</t>
  </si>
  <si>
    <t>https://www.digikey.com/en/products/detail/raspberry-pi/SC1509-13/26241107</t>
  </si>
  <si>
    <t>U9,U10</t>
  </si>
  <si>
    <t>TPS63000DRCR</t>
  </si>
  <si>
    <t>1.6A Buck-Boost Converter</t>
  </si>
  <si>
    <t>https://www.digikey.com/en/products/detail/texas-instruments/TPS63000DRCR/1016474</t>
  </si>
  <si>
    <t>U11</t>
  </si>
  <si>
    <t>LMV324IPWR</t>
  </si>
  <si>
    <t>Quad Rail-To-Rail Op-Amp</t>
  </si>
  <si>
    <t>https://www.digikey.com/en/products/detail/texas-instruments/LMV324IPWR/381071</t>
  </si>
  <si>
    <t>50kOhm 2x Digital Potentiometer with I2C Interface</t>
  </si>
  <si>
    <t>ICs Subtotal</t>
  </si>
  <si>
    <t>Specialized Components</t>
  </si>
  <si>
    <t>B240AE-13</t>
  </si>
  <si>
    <t>Schottky Diode</t>
  </si>
  <si>
    <t>https://www.digikey.com/en/products/detail/diodes-incorporated/B240AE-13/7352825</t>
  </si>
  <si>
    <t>T5V0S5A-7</t>
  </si>
  <si>
    <t>5V TVS</t>
  </si>
  <si>
    <t>https://www.digikey.com/en/products/detail/diodes-incorporated/T5V0S5A-7/17840287?s=N4IgTCBcDaICoFYBqAGAyggggWgOwgF0BfIA</t>
  </si>
  <si>
    <t>T3V3S5A-7</t>
  </si>
  <si>
    <t>3.3V TVS</t>
  </si>
  <si>
    <t>https://www.digikey.com/en/products/detail/diodes-incorporated/T3V3S5A-7/17840278?s=N4IgTCBcDaICoGYBqCDKBWAggWgOwgF0BfIA</t>
  </si>
  <si>
    <t xml:space="preserve">KT EELP41.12-S2U1-25-2X4Y-5-R18 </t>
  </si>
  <si>
    <t>Green LED</t>
  </si>
  <si>
    <t>https://www.digikey.com/en/products/detail/ams-osram-usa-inc/KT-EELP41-12-S2U1-25-2X4Y-5-R18/24765233?s=N4IgTCBcDaINIBUAEBRFAZACgFgIwDpcwBaAZTAFVdiwBWGgDWwE1j6AlXADiRAF0AvkA</t>
  </si>
  <si>
    <t>D7</t>
  </si>
  <si>
    <t>ESDARF02-1BU2CK</t>
  </si>
  <si>
    <t>3.3V 3GHz BW TVS Diode</t>
  </si>
  <si>
    <t>https://www.digikey.com/en/products/detail/stmicroelectronics/ESDARF02-1BU2CK/5768407?s=N4IgTCBcDaIKIGUAiBBASgMQAxgLQEYAhAVTAGEBpEAXQF8g</t>
  </si>
  <si>
    <t xml:space="preserve">KR EELP41.22-Q1S1-36-A8J8-020-R18 </t>
  </si>
  <si>
    <t>Red LED</t>
  </si>
  <si>
    <t>https://www.digikey.com/en/products/detail/ams-osram-usa-inc/KR-EELP41-22-Q1S1-36-A8J8-020-R18/24765238?s=N4IgTCBcDaINICUAEBRFAZACgFgIwDowwBaARVwGVdiBmANmIEEAOAKWeIAYxPiFdmSEAF0AvkA</t>
  </si>
  <si>
    <t>Y1</t>
  </si>
  <si>
    <t>ABM8-272-T3</t>
  </si>
  <si>
    <t>12MHz XTAL Oscillator</t>
  </si>
  <si>
    <t>https://www.digikey.com/en/products/detail/abracon-llc/ABM8-272-T3/22472366?s=N4IgTCBcDaIIICECyAOAtGA7GNAVAzCALoC%2BQA</t>
  </si>
  <si>
    <t>LQH3NPZ2R2MMEL</t>
  </si>
  <si>
    <t>Buck-Boost Converter Inductor</t>
  </si>
  <si>
    <t>https://www.digikey.com/en/products/detail/murata-electronics/LQH3NPZ2R2MMEL/6799398?s=N4IgTCBcDaIDIEUASBmAcgBQFpgEpgFkCBROEAXQF8g</t>
  </si>
  <si>
    <t>AOTA-B201610S3R3-101-T</t>
  </si>
  <si>
    <t>RP2350 DC-DC Inductor with Guaranteed Winding Direction</t>
  </si>
  <si>
    <t>https://www.digikey.com/en/products/detail/abracon-llc/AOTA-B201610S3R3-101-T/25621527?s=N4IgTCBcDaIIIHkAqcC0AhMAGAjANhywGUBmAJRNUJ1SRAF0BfIA</t>
  </si>
  <si>
    <t>Specialized Components Subtotal</t>
  </si>
  <si>
    <t>Components</t>
  </si>
  <si>
    <t>RNCF0805DTE100R</t>
  </si>
  <si>
    <t>100R (0.5%)</t>
  </si>
  <si>
    <t>https://www.digikey.com/en/products/detail/stackpole-electronics-inc/RNCF0805DTE100R/1708180?s=N4IgTCBcDaIEoDkDCAxADADjQVgCIBUBRARjTThAF0BfIA</t>
  </si>
  <si>
    <t>RMCF0805ZT0R00</t>
  </si>
  <si>
    <t>Jumper (qty 10. cheaper than qty. 1)</t>
  </si>
  <si>
    <t>https://www.digikey.com/en/products/detail/stackpole-electronics-inc/RMCF0805ZT0R00/1756901?s=N4IgTCBcDaIEoFkDCAxADADjQVgFoBU0400QBdAXyA</t>
  </si>
  <si>
    <t>RMCF0805FT200K</t>
  </si>
  <si>
    <t>200k</t>
  </si>
  <si>
    <t>https://www.digikey.com/en/products/detail/stackpole-electronics-inc/RMCF0805FT200K/1760341?s=N4IgTCBcDaIEoFkDCAxADADjQVhQFTDTQGkQBdAXyA</t>
  </si>
  <si>
    <t>RNCF0805DTE10K0</t>
  </si>
  <si>
    <t>10k (0.5%)</t>
  </si>
  <si>
    <t>https://www.digikey.com/en/products/detail/stackpole-electronics-inc/RNCF0805DTE10K0/1708247</t>
  </si>
  <si>
    <t>RMCF0805FT1K00</t>
  </si>
  <si>
    <t>1k</t>
  </si>
  <si>
    <t>https://www.digikey.com/en/products/detail/stackpole-electronics-inc/RMCF0805FT1K00/1760090?s=N4IgTCBcDaIEoFkDCAxADADjQVhQFQEYBpNNEAXQF8g</t>
  </si>
  <si>
    <t>RMCF0805FT33R0</t>
  </si>
  <si>
    <t>33R</t>
  </si>
  <si>
    <t>https://www.digikey.com/en/products/detail/stackpole-electronics-inc/RMCF0805FT33R0/1760586?s=N4IgTCBcDaIEoFkDCAxADADjQVhQFQGYC40QBdAXyA</t>
  </si>
  <si>
    <t>RMCF0805FT4K70</t>
  </si>
  <si>
    <t>4.7k</t>
  </si>
  <si>
    <t>https://www.digikey.com/en/products/detail/stackpole-electronics-inc/RMCF0805FT4K70/1760659?s=N4IgTCBcDaIEoFkDCAxADADjQVhQFQBYBpAdjRAF0BfIA</t>
  </si>
  <si>
    <t>RMCF0805FT27R0</t>
  </si>
  <si>
    <t>27R</t>
  </si>
  <si>
    <t>https://www.digikey.com/en/products/detail/stackpole-electronics-inc/RMCF0805FT27R0/1712920?s=N4IgTCBcDaIEoFkDCAxADADjQVhQFTAHY40QBdAXyA</t>
  </si>
  <si>
    <t>R33</t>
  </si>
  <si>
    <t>RMCF0805FT71R5</t>
  </si>
  <si>
    <t>70R</t>
  </si>
  <si>
    <t>https://www.digikey.com/en/products/detail/stackpole-electronics-inc/RMCF0805FT71R5/1760525?s=N4IgjCBcpgbFoDGUBmBDANgZwKYBoQB7KAbRAGYBOcgJkpAF0CAHAFyhAGVWAnASwB2AcxABfAjQAMADgCsCEMkjps%2BIqRAB2MADpZAAgDyACwC2WRi3aQQAVQF9WhlAFkcaLAFceOMQQC0ENCKqJi4BMSQZJrk0oziIP40Ckq8nmqRZPIMCf70wak86REaEDkJyVFcLgAi%2Bj5YfFishDyWIPDBfAAmHIGSEFYcIASsAJ7MvjYeyKKiQA</t>
  </si>
  <si>
    <t>RMCF0805FT160R</t>
  </si>
  <si>
    <t>160R</t>
  </si>
  <si>
    <t>https://www.digikey.com/en/products/detail/stackpole-electronics-inc/RMCF0805FT160R/1712729</t>
  </si>
  <si>
    <t>RNCF0805BTE100K</t>
  </si>
  <si>
    <t>100k (0.1%)</t>
  </si>
  <si>
    <t>https://www.digikey.com/en/products/detail/stackpole-electronics-inc/RNCF0805BTE100K/1710369?s=N4IgTCBcDaIEoDkDCAxADADjQVgEIBUBRARjTQGkQBdAXyA</t>
  </si>
  <si>
    <t>R6</t>
  </si>
  <si>
    <t>RNCF0805DTE560K</t>
  </si>
  <si>
    <t>560k (0.5%)</t>
  </si>
  <si>
    <t>https://www.digikey.com/en/products/detail/stackpole-electronics-inc/RNCF0805DTE560K/6242075?s=N4IgjCBcoMxaBjKAzAhgGwM4FMA0IB7KAbRAE4B2ANhAF18AHAFyhAGUmAnASwDsBzEAF98YGtBBJIaLHkIkQMMjABMZOoxaR2XPoJEgVABgAcAVniSUGHPiKRSZqkYAEAawDyACwC2mDSDMrACqvNxMHsgAstiomACunNjC%2BAC0EBJSMrbyDiAUMCZ0BqkqllJc8XL2jsVp6plQldUKELRCBmV5bFEAIi5JmNyYTAScAeKg3AAmrOlGEJqsIPhMAJ4MydpxSB1AA</t>
  </si>
  <si>
    <t>RNCF0805DTE910K</t>
  </si>
  <si>
    <t>910k (0.5%)</t>
  </si>
  <si>
    <t>https://www.digikey.com/en/products/detail/stackpole-electronics-inc/RNCF0805DTE910K/6242097</t>
  </si>
  <si>
    <t>CL21A226MAYNNNE</t>
  </si>
  <si>
    <t>22uF</t>
  </si>
  <si>
    <t>https://www.digikey.com/en/products/detail/samsung-electro-mechanics/CL21A226MAYNNNE/10479857?s=N4IgTCBcDaIMIBkwEYCCYwDYCyqCaAckQKIgC6AvkA</t>
  </si>
  <si>
    <t>KGM21NR71E104KT</t>
  </si>
  <si>
    <t>100n</t>
  </si>
  <si>
    <t>https://www.digikey.com/en/products/detail/kyocera-avx/KGM21NR71E104KT/1116281?s=N4IgTCBcDaINIHECyYCMA5ASgdlQUVQAYAWOAFRAF0BfIA</t>
  </si>
  <si>
    <t>CL21A475KPFNNNE</t>
  </si>
  <si>
    <t>4.7u (qty &gt; 10)</t>
  </si>
  <si>
    <t>https://www.digikey.com/en/products/detail/samsung-electro-mechanics/CL21A475KPFNNNE/3886917?s=N4IgTCBcDaIMIBkwEYCCAWA7AVgNIAUAxAOVIFEQBdAXyA</t>
  </si>
  <si>
    <t>GMC21CG150J50NT</t>
  </si>
  <si>
    <t>15p (qty &gt; 10)</t>
  </si>
  <si>
    <t>https://www.digikey.com/en/products/detail/cal-chip-electronics-inc/GMC21CG150J50NT/22256323</t>
  </si>
  <si>
    <t>GRM31CR61A476ME15L</t>
  </si>
  <si>
    <t>47uF</t>
  </si>
  <si>
    <t>https://www.digikey.com/en/products/detail/murata-electronics/GRM31CR61A476ME15L/2334879</t>
  </si>
  <si>
    <t>CC0805CRNPO9BN4R0</t>
  </si>
  <si>
    <t>4p</t>
  </si>
  <si>
    <t>https://www.digikey.com/en/products/detail/yageo/CC0805CRNPO9BN4R0/302827?s=N4IgTCBcDaIMJwAwA5EFY4CUByAFA8gJwBC2ALJoiALoC%2BQA</t>
  </si>
  <si>
    <t>CC0805CRNPO9BN2R4</t>
  </si>
  <si>
    <t>2.4p</t>
  </si>
  <si>
    <t>https://www.digikey.com/en/products/detail/yageo/CC0805CRNPO9BN2R4/5883895?s=N4IgTCBcDaIMJwAwA5EFY4CUByAFA8gJwBC2YmALCALoC%2BQA</t>
  </si>
  <si>
    <t>Components Subtotal</t>
  </si>
  <si>
    <t>Integrated Modules</t>
  </si>
  <si>
    <t>U4</t>
  </si>
  <si>
    <t>Core1262 HF</t>
  </si>
  <si>
    <t>LoRa Modulator</t>
  </si>
  <si>
    <t>https://www.waveshare.com/core1262-868m.htm</t>
  </si>
  <si>
    <t>Integrated Modules Subtotal</t>
  </si>
  <si>
    <t>TOTAL</t>
  </si>
  <si>
    <t>C1,C2</t>
  </si>
  <si>
    <t>C3</t>
  </si>
  <si>
    <t>C8,C9,C10,C11,C12,C15,C17,C22,C25,C26,C27,C28,C29,C30,C31,C32,C33,C34,C39,C40,C41,C42,C43,C44,C45,C46,C47</t>
  </si>
  <si>
    <t>C4,C6</t>
  </si>
  <si>
    <t>C5</t>
  </si>
  <si>
    <t>C13,C20,C21,C23,C24</t>
  </si>
  <si>
    <t>C18,C19</t>
  </si>
  <si>
    <t>C35</t>
  </si>
  <si>
    <t>2.2n</t>
  </si>
  <si>
    <t>C36</t>
  </si>
  <si>
    <t>1u</t>
  </si>
  <si>
    <t>C37,C38,C48</t>
  </si>
  <si>
    <t>C0805C222K5RACTU</t>
  </si>
  <si>
    <t>https://www.digikey.com/en/products/detail/kemet/C0805C222K5RACTU/411150</t>
  </si>
  <si>
    <t>CL21B105KAFNNNE</t>
  </si>
  <si>
    <t>https://www.digikey.com/en/products/detail/samsung-electro-mechanics/CL21B105KAFNNNE/3886724</t>
  </si>
  <si>
    <t>GRM31CR61A107MEA8K</t>
  </si>
  <si>
    <t>100u (qty &gt; 10)</t>
  </si>
  <si>
    <t>https://www.digikey.com/en/products/detail/murata-electronics/GRM31CR61A107MEA8K/16286003</t>
  </si>
  <si>
    <t>D1,D2,D3,D6,D8,D9,D10</t>
  </si>
  <si>
    <t>D4,D5</t>
  </si>
  <si>
    <t>D13</t>
  </si>
  <si>
    <t>D12, D14, D15</t>
  </si>
  <si>
    <t>D11</t>
  </si>
  <si>
    <t>J1, J4, J5</t>
  </si>
  <si>
    <t>J3</t>
  </si>
  <si>
    <t>L3, L4</t>
  </si>
  <si>
    <t>L2</t>
  </si>
  <si>
    <t>R8,R27,R28,R45</t>
  </si>
  <si>
    <t>L1, R2</t>
  </si>
  <si>
    <t>R12</t>
  </si>
  <si>
    <t>R11,R15,R16,R22,R35,R36,R37,R38,R39,R40,R41,R42,R43,R44</t>
  </si>
  <si>
    <t>R23</t>
  </si>
  <si>
    <t>R3</t>
  </si>
  <si>
    <t>R25,R26</t>
  </si>
  <si>
    <t>R17</t>
  </si>
  <si>
    <t>R21,R24,R31,R9,R10,R13,R14</t>
  </si>
  <si>
    <t>R18,R19,R20</t>
  </si>
  <si>
    <t>R1,R5,R7</t>
  </si>
  <si>
    <t>R4</t>
  </si>
  <si>
    <t>R29</t>
  </si>
  <si>
    <t>4.7M</t>
  </si>
  <si>
    <t>R30</t>
  </si>
  <si>
    <t>3k</t>
  </si>
  <si>
    <t>R32,R34</t>
  </si>
  <si>
    <t>30k</t>
  </si>
  <si>
    <t>RMCF0805FT4M70</t>
  </si>
  <si>
    <t>https://www.digikey.com/en/products/detail/stackpole-electronics-inc/RMCF0805FT4M70/1713118</t>
  </si>
  <si>
    <t>RMCF0805FT3K00</t>
  </si>
  <si>
    <t>https://www.digikey.com/en/products/detail/stackpole-electronics-inc/RMCF0805FT3K00/1713084</t>
  </si>
  <si>
    <t>RNCF0805DTE30K0</t>
  </si>
  <si>
    <t>59k</t>
  </si>
  <si>
    <t>RMCF0805FT59K0</t>
  </si>
  <si>
    <t>https://www.digikey.com/en/products/detail/stackpole-electronics-inc/RMCF0805FT59K0/1760440</t>
  </si>
  <si>
    <t>https://www.digikey.com/en/products/detail/stackpole-electronics-inc/RNCF0805DTE30K0/6241935?s=N4IgTCBcDaIEoDkDCAxADADjQVgCIBUBRAZjQGk0QBdAXyA</t>
  </si>
  <si>
    <t>TMUX1309APWR</t>
  </si>
  <si>
    <t>LSF0102DCTR</t>
  </si>
  <si>
    <t>https://www.digikey.com/en/products/detail/texas-instruments/LSF0102DCTR/4806524?s=N4IgTCBcDaIDIGUBiAGAjCsARAwgFQCUQBdAXyA</t>
  </si>
  <si>
    <t>https://www.digikey.com/en/products/detail/texas-instruments/TMUX1309APWR/24708482?s=N4IgTCBcDaICoFkCqANAjAZgAwE4CCACgOoBKIAugL5A</t>
  </si>
  <si>
    <t>U3</t>
  </si>
  <si>
    <t>TL082CDR</t>
  </si>
  <si>
    <t>https://www.digikey.com/en/products/detail/texas-instruments/TL082CDR/276927</t>
  </si>
  <si>
    <t>U14</t>
  </si>
  <si>
    <t>U13,U15,U16</t>
  </si>
  <si>
    <t>MCP4651T-503E/ST</t>
  </si>
  <si>
    <t>https://www.digikey.com/en/products/detail/microchip-technology/MCP4651T-503E-ST/2061292?s=N4IgTCBcDaILIGEAKAWAbAVgIwBUC0GADAMwCiA9AMo4gC6AvkA</t>
  </si>
  <si>
    <t>JFET Input Op-Amp x 2</t>
  </si>
  <si>
    <t>75R</t>
  </si>
  <si>
    <t>165R</t>
  </si>
  <si>
    <t>R1,R5,R7,R32,R34</t>
  </si>
  <si>
    <t>R12, R33</t>
  </si>
  <si>
    <t>OSTOQ033251</t>
  </si>
  <si>
    <t>OSTTJ0331530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</si>
</sst>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\-[$$-409]#,##0.00"/>
  </numFmts>
  <fonts count="3" x14ac:knownFonts="1">
    <font>
      <sz val="10"/>
      <name val="Arial"/>
      <family val="2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3" borderId="0" xfId="0" applyFont="1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2">
    <dxf>
      <numFmt numFmtId="164" formatCode="[$$-409]#,##0.00;[Red]\-[$$-409]#,##0.00"/>
    </dxf>
    <dxf>
      <numFmt numFmtId="164" formatCode="[$$-409]#,##0.00;[Red]\-[$$-409]#,##0.00"/>
    </dxf>
  </dxf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11E2AF-9892-469E-A4FA-05A620D19CC4}" name="Table2" displayName="Table2" ref="A1:G49" totalsRowShown="0">
  <autoFilter ref="A1:G49" xr:uid="{B711E2AF-9892-469E-A4FA-05A620D19CC4}"/>
  <tableColumns count="7">
    <tableColumn id="1" xr3:uid="{92DC0CF9-D792-4442-BD35-2DE49AF8DF03}" name="Reference"/>
    <tableColumn id="2" xr3:uid="{5183BBE3-193E-4367-85CC-0A32647DEDD1}" name="MFG P/N"/>
    <tableColumn id="3" xr3:uid="{DC47CA6C-26A8-4705-9201-6BC68053978A}" name="Qty/Board"/>
    <tableColumn id="4" xr3:uid="{7C149D96-FD76-4AD3-B457-8579C3BDBDBD}" name="Unit Cost" dataDxfId="1"/>
    <tableColumn id="5" xr3:uid="{431B59EB-B2D4-4D99-BE58-751F29D8A160}" name="Ext. Cost" dataDxfId="0">
      <calculatedColumnFormula>D2*C2</calculatedColumnFormula>
    </tableColumn>
    <tableColumn id="6" xr3:uid="{E2C9F005-C537-4E83-8B8C-8CCB769183D8}" name="Description"/>
    <tableColumn id="7" xr3:uid="{B1A12634-0271-440C-93AA-EDFD8072F5D7}" name="Digikey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25" zoomScaleNormal="100" workbookViewId="0">
      <selection activeCell="D7" sqref="D7"/>
    </sheetView>
  </sheetViews>
  <sheetFormatPr defaultColWidth="11.5546875" defaultRowHeight="13.2" x14ac:dyDescent="0.25"/>
  <cols>
    <col min="1" max="1" width="70.77734375" customWidth="1"/>
    <col min="2" max="2" width="33.88671875" customWidth="1"/>
    <col min="6" max="6" width="43" customWidth="1"/>
  </cols>
  <sheetData>
    <row r="1" spans="1:7" x14ac:dyDescent="0.25">
      <c r="A1" s="9" t="s">
        <v>0</v>
      </c>
      <c r="B1" s="9"/>
      <c r="C1" s="9"/>
      <c r="D1" s="9"/>
      <c r="E1" s="9"/>
      <c r="F1" s="9"/>
      <c r="G1" s="9"/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194</v>
      </c>
      <c r="B3" t="s">
        <v>241</v>
      </c>
      <c r="C3">
        <v>3</v>
      </c>
      <c r="D3" s="1">
        <v>0.65</v>
      </c>
      <c r="E3" s="1">
        <f t="shared" ref="E3:E11" si="0">C3*D3</f>
        <v>1.9500000000000002</v>
      </c>
      <c r="F3" t="s">
        <v>9</v>
      </c>
      <c r="G3" t="s">
        <v>10</v>
      </c>
    </row>
    <row r="4" spans="1:7" x14ac:dyDescent="0.25">
      <c r="A4" t="s">
        <v>11</v>
      </c>
      <c r="B4" t="s">
        <v>12</v>
      </c>
      <c r="C4">
        <v>1</v>
      </c>
      <c r="D4" s="1">
        <v>0.27</v>
      </c>
      <c r="E4" s="1">
        <f t="shared" si="0"/>
        <v>0.27</v>
      </c>
      <c r="F4" t="s">
        <v>13</v>
      </c>
      <c r="G4" t="s">
        <v>14</v>
      </c>
    </row>
    <row r="5" spans="1:7" x14ac:dyDescent="0.25">
      <c r="A5" t="s">
        <v>195</v>
      </c>
      <c r="B5" t="s">
        <v>15</v>
      </c>
      <c r="C5">
        <v>1</v>
      </c>
      <c r="D5" s="1">
        <v>2.0499999999999998</v>
      </c>
      <c r="E5" s="1">
        <f t="shared" si="0"/>
        <v>2.0499999999999998</v>
      </c>
      <c r="F5" t="s">
        <v>16</v>
      </c>
      <c r="G5" t="s">
        <v>17</v>
      </c>
    </row>
    <row r="6" spans="1:7" x14ac:dyDescent="0.25">
      <c r="A6" t="s">
        <v>18</v>
      </c>
      <c r="B6" t="s">
        <v>242</v>
      </c>
      <c r="C6">
        <v>3</v>
      </c>
      <c r="D6" s="1">
        <v>1.88</v>
      </c>
      <c r="E6" s="1">
        <f t="shared" si="0"/>
        <v>5.64</v>
      </c>
      <c r="F6" s="2" t="s">
        <v>20</v>
      </c>
      <c r="G6" t="s">
        <v>21</v>
      </c>
    </row>
    <row r="7" spans="1:7" x14ac:dyDescent="0.25">
      <c r="A7" t="s">
        <v>18</v>
      </c>
      <c r="B7" t="s">
        <v>22</v>
      </c>
      <c r="C7">
        <v>1</v>
      </c>
      <c r="D7" s="1">
        <v>0.67</v>
      </c>
      <c r="E7" s="1">
        <f t="shared" si="0"/>
        <v>0.67</v>
      </c>
      <c r="F7" t="s">
        <v>23</v>
      </c>
      <c r="G7" t="s">
        <v>24</v>
      </c>
    </row>
    <row r="8" spans="1:7" x14ac:dyDescent="0.25">
      <c r="A8" t="s">
        <v>25</v>
      </c>
      <c r="B8" t="s">
        <v>26</v>
      </c>
      <c r="C8">
        <v>1</v>
      </c>
      <c r="D8" s="1">
        <v>0.51</v>
      </c>
      <c r="E8" s="1">
        <f t="shared" si="0"/>
        <v>0.51</v>
      </c>
      <c r="F8" t="s">
        <v>27</v>
      </c>
      <c r="G8" t="s">
        <v>28</v>
      </c>
    </row>
    <row r="9" spans="1:7" x14ac:dyDescent="0.25">
      <c r="A9" t="s">
        <v>29</v>
      </c>
      <c r="B9" t="s">
        <v>30</v>
      </c>
      <c r="C9">
        <v>1</v>
      </c>
      <c r="D9" s="1">
        <v>3.43</v>
      </c>
      <c r="E9" s="1">
        <f t="shared" si="0"/>
        <v>3.43</v>
      </c>
      <c r="F9" t="s">
        <v>31</v>
      </c>
      <c r="G9" t="s">
        <v>32</v>
      </c>
    </row>
    <row r="10" spans="1:7" x14ac:dyDescent="0.25">
      <c r="A10" t="s">
        <v>33</v>
      </c>
      <c r="B10" t="s">
        <v>34</v>
      </c>
      <c r="C10">
        <v>1</v>
      </c>
      <c r="D10" s="1">
        <v>0</v>
      </c>
      <c r="E10" s="1">
        <f t="shared" si="0"/>
        <v>0</v>
      </c>
      <c r="F10" t="s">
        <v>34</v>
      </c>
    </row>
    <row r="11" spans="1:7" x14ac:dyDescent="0.25">
      <c r="A11" t="s">
        <v>35</v>
      </c>
      <c r="B11" t="s">
        <v>36</v>
      </c>
      <c r="C11">
        <v>2</v>
      </c>
      <c r="D11" s="1">
        <v>0</v>
      </c>
      <c r="E11" s="1">
        <f t="shared" si="0"/>
        <v>0</v>
      </c>
      <c r="F11" t="s">
        <v>36</v>
      </c>
    </row>
    <row r="12" spans="1:7" x14ac:dyDescent="0.25">
      <c r="A12" s="3" t="s">
        <v>37</v>
      </c>
      <c r="B12" s="3"/>
      <c r="C12" s="3"/>
      <c r="D12" s="3"/>
      <c r="E12" s="4">
        <f>SUM(E3:E11)</f>
        <v>14.52</v>
      </c>
      <c r="F12" s="3"/>
      <c r="G12" s="3"/>
    </row>
    <row r="14" spans="1:7" x14ac:dyDescent="0.25">
      <c r="A14" s="10" t="s">
        <v>38</v>
      </c>
      <c r="B14" s="10"/>
      <c r="C14" s="10"/>
      <c r="D14" s="10"/>
      <c r="E14" s="10"/>
      <c r="F14" s="10"/>
      <c r="G14" s="10"/>
    </row>
    <row r="15" spans="1:7" x14ac:dyDescent="0.2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</row>
    <row r="16" spans="1:7" s="7" customFormat="1" x14ac:dyDescent="0.25">
      <c r="A16" s="7" t="s">
        <v>40</v>
      </c>
      <c r="B16" s="7" t="s">
        <v>225</v>
      </c>
      <c r="C16" s="7">
        <v>1</v>
      </c>
      <c r="D16" s="8">
        <v>0.37</v>
      </c>
      <c r="E16" s="8">
        <f t="shared" ref="E16:E25" si="1">C16*D16</f>
        <v>0.37</v>
      </c>
      <c r="F16" s="7" t="s">
        <v>39</v>
      </c>
      <c r="G16" s="7" t="s">
        <v>228</v>
      </c>
    </row>
    <row r="17" spans="1:7" s="7" customFormat="1" x14ac:dyDescent="0.25">
      <c r="A17" s="7" t="s">
        <v>229</v>
      </c>
      <c r="B17" s="7" t="s">
        <v>226</v>
      </c>
      <c r="C17" s="7">
        <v>1</v>
      </c>
      <c r="D17" s="8">
        <v>0.43</v>
      </c>
      <c r="E17" s="8">
        <f t="shared" si="1"/>
        <v>0.43</v>
      </c>
      <c r="F17" s="7" t="s">
        <v>41</v>
      </c>
      <c r="G17" s="7" t="s">
        <v>227</v>
      </c>
    </row>
    <row r="18" spans="1:7" s="7" customFormat="1" x14ac:dyDescent="0.25">
      <c r="A18" s="7" t="s">
        <v>42</v>
      </c>
      <c r="B18" s="7" t="s">
        <v>43</v>
      </c>
      <c r="C18" s="7">
        <v>1</v>
      </c>
      <c r="D18" s="8">
        <v>0.48</v>
      </c>
      <c r="E18" s="8">
        <f t="shared" si="1"/>
        <v>0.48</v>
      </c>
      <c r="F18" s="7" t="s">
        <v>44</v>
      </c>
      <c r="G18" s="7" t="s">
        <v>45</v>
      </c>
    </row>
    <row r="19" spans="1:7" x14ac:dyDescent="0.25">
      <c r="A19" t="s">
        <v>46</v>
      </c>
      <c r="B19" t="s">
        <v>47</v>
      </c>
      <c r="C19">
        <v>1</v>
      </c>
      <c r="D19">
        <v>2.48</v>
      </c>
      <c r="E19">
        <f t="shared" si="1"/>
        <v>2.48</v>
      </c>
      <c r="F19" t="s">
        <v>48</v>
      </c>
      <c r="G19" t="s">
        <v>49</v>
      </c>
    </row>
    <row r="20" spans="1:7" x14ac:dyDescent="0.25">
      <c r="A20" t="s">
        <v>50</v>
      </c>
      <c r="B20" t="s">
        <v>51</v>
      </c>
      <c r="C20">
        <v>1</v>
      </c>
      <c r="D20" s="1">
        <v>1.85</v>
      </c>
      <c r="E20" s="1">
        <f t="shared" si="1"/>
        <v>1.85</v>
      </c>
      <c r="F20" t="s">
        <v>52</v>
      </c>
      <c r="G20" t="s">
        <v>53</v>
      </c>
    </row>
    <row r="21" spans="1:7" x14ac:dyDescent="0.25">
      <c r="A21" t="s">
        <v>54</v>
      </c>
      <c r="B21" t="s">
        <v>55</v>
      </c>
      <c r="C21">
        <v>1</v>
      </c>
      <c r="D21" s="1">
        <v>1.1000000000000001</v>
      </c>
      <c r="E21" s="1">
        <f t="shared" si="1"/>
        <v>1.1000000000000001</v>
      </c>
      <c r="F21" t="s">
        <v>56</v>
      </c>
      <c r="G21" t="s">
        <v>57</v>
      </c>
    </row>
    <row r="22" spans="1:7" x14ac:dyDescent="0.25">
      <c r="A22" t="s">
        <v>58</v>
      </c>
      <c r="B22" t="s">
        <v>59</v>
      </c>
      <c r="C22">
        <v>2</v>
      </c>
      <c r="D22" s="1">
        <v>2.61</v>
      </c>
      <c r="E22" s="1">
        <f t="shared" si="1"/>
        <v>5.22</v>
      </c>
      <c r="F22" t="s">
        <v>60</v>
      </c>
      <c r="G22" t="s">
        <v>61</v>
      </c>
    </row>
    <row r="23" spans="1:7" x14ac:dyDescent="0.25">
      <c r="A23" t="s">
        <v>62</v>
      </c>
      <c r="B23" t="s">
        <v>230</v>
      </c>
      <c r="C23">
        <v>1</v>
      </c>
      <c r="D23" s="1">
        <v>0.35</v>
      </c>
      <c r="E23" s="1">
        <f t="shared" si="1"/>
        <v>0.35</v>
      </c>
      <c r="F23" t="s">
        <v>236</v>
      </c>
      <c r="G23" t="s">
        <v>231</v>
      </c>
    </row>
    <row r="24" spans="1:7" s="7" customFormat="1" x14ac:dyDescent="0.25">
      <c r="A24" s="7" t="s">
        <v>232</v>
      </c>
      <c r="B24" s="7" t="s">
        <v>63</v>
      </c>
      <c r="C24" s="7">
        <v>1</v>
      </c>
      <c r="D24" s="8">
        <v>0.44</v>
      </c>
      <c r="E24" s="8">
        <f t="shared" si="1"/>
        <v>0.44</v>
      </c>
      <c r="F24" s="7" t="s">
        <v>64</v>
      </c>
      <c r="G24" s="7" t="s">
        <v>65</v>
      </c>
    </row>
    <row r="25" spans="1:7" s="7" customFormat="1" x14ac:dyDescent="0.25">
      <c r="A25" s="7" t="s">
        <v>233</v>
      </c>
      <c r="B25" s="7" t="s">
        <v>234</v>
      </c>
      <c r="C25" s="7">
        <v>2</v>
      </c>
      <c r="D25" s="8">
        <v>1.24</v>
      </c>
      <c r="E25" s="8">
        <f t="shared" si="1"/>
        <v>2.48</v>
      </c>
      <c r="F25" s="7" t="s">
        <v>66</v>
      </c>
      <c r="G25" s="7" t="s">
        <v>235</v>
      </c>
    </row>
    <row r="26" spans="1:7" x14ac:dyDescent="0.25">
      <c r="A26" s="3" t="s">
        <v>67</v>
      </c>
      <c r="B26" s="3"/>
      <c r="C26" s="3"/>
      <c r="D26" s="4"/>
      <c r="E26" s="4">
        <f>SUM(E16:E25)</f>
        <v>15.2</v>
      </c>
      <c r="F26" s="3"/>
      <c r="G26" s="3"/>
    </row>
    <row r="28" spans="1:7" x14ac:dyDescent="0.25">
      <c r="A28" s="9" t="s">
        <v>68</v>
      </c>
      <c r="B28" s="9"/>
      <c r="C28" s="9"/>
      <c r="D28" s="9"/>
      <c r="E28" s="9"/>
      <c r="F28" s="9"/>
      <c r="G28" s="9"/>
    </row>
    <row r="29" spans="1:7" x14ac:dyDescent="0.25">
      <c r="A29" t="s">
        <v>190</v>
      </c>
      <c r="B29" t="s">
        <v>69</v>
      </c>
      <c r="C29">
        <v>2</v>
      </c>
      <c r="D29" s="1">
        <v>0.2</v>
      </c>
      <c r="E29" s="1">
        <f t="shared" ref="E29:E37" si="2">C29*D29</f>
        <v>0.4</v>
      </c>
      <c r="F29" t="s">
        <v>70</v>
      </c>
      <c r="G29" t="s">
        <v>71</v>
      </c>
    </row>
    <row r="30" spans="1:7" x14ac:dyDescent="0.25">
      <c r="A30" t="s">
        <v>189</v>
      </c>
      <c r="B30" t="s">
        <v>72</v>
      </c>
      <c r="C30">
        <v>7</v>
      </c>
      <c r="D30" s="1">
        <v>8.3000000000000004E-2</v>
      </c>
      <c r="E30" s="1">
        <f t="shared" si="2"/>
        <v>0.58100000000000007</v>
      </c>
      <c r="F30" t="s">
        <v>73</v>
      </c>
      <c r="G30" t="s">
        <v>74</v>
      </c>
    </row>
    <row r="31" spans="1:7" x14ac:dyDescent="0.25">
      <c r="A31" t="s">
        <v>81</v>
      </c>
      <c r="B31" t="s">
        <v>75</v>
      </c>
      <c r="C31">
        <v>1</v>
      </c>
      <c r="D31" s="1">
        <v>0.15</v>
      </c>
      <c r="E31" s="1">
        <f t="shared" si="2"/>
        <v>0.15</v>
      </c>
      <c r="F31" t="s">
        <v>76</v>
      </c>
      <c r="G31" t="s">
        <v>77</v>
      </c>
    </row>
    <row r="32" spans="1:7" x14ac:dyDescent="0.25">
      <c r="A32" t="s">
        <v>192</v>
      </c>
      <c r="B32" t="s">
        <v>78</v>
      </c>
      <c r="C32">
        <v>3</v>
      </c>
      <c r="D32" s="1">
        <v>0.16</v>
      </c>
      <c r="E32" s="1">
        <f t="shared" si="2"/>
        <v>0.48</v>
      </c>
      <c r="F32" t="s">
        <v>79</v>
      </c>
      <c r="G32" t="s">
        <v>80</v>
      </c>
    </row>
    <row r="33" spans="1:7" x14ac:dyDescent="0.25">
      <c r="A33" t="s">
        <v>191</v>
      </c>
      <c r="B33" t="s">
        <v>82</v>
      </c>
      <c r="C33">
        <v>1</v>
      </c>
      <c r="D33" s="1">
        <v>0.13</v>
      </c>
      <c r="E33" s="1">
        <f t="shared" si="2"/>
        <v>0.13</v>
      </c>
      <c r="F33" t="s">
        <v>83</v>
      </c>
      <c r="G33" t="s">
        <v>84</v>
      </c>
    </row>
    <row r="34" spans="1:7" x14ac:dyDescent="0.25">
      <c r="A34" s="2" t="s">
        <v>193</v>
      </c>
      <c r="B34" s="2" t="s">
        <v>85</v>
      </c>
      <c r="C34" s="2">
        <v>1</v>
      </c>
      <c r="D34" s="1">
        <v>0.14000000000000001</v>
      </c>
      <c r="E34" s="1">
        <f t="shared" si="2"/>
        <v>0.14000000000000001</v>
      </c>
      <c r="F34" s="2" t="s">
        <v>86</v>
      </c>
      <c r="G34" s="2" t="s">
        <v>87</v>
      </c>
    </row>
    <row r="35" spans="1:7" x14ac:dyDescent="0.25">
      <c r="A35" t="s">
        <v>88</v>
      </c>
      <c r="B35" s="2" t="s">
        <v>89</v>
      </c>
      <c r="C35">
        <v>1</v>
      </c>
      <c r="D35" s="1">
        <v>0.54</v>
      </c>
      <c r="E35" s="1">
        <f t="shared" si="2"/>
        <v>0.54</v>
      </c>
      <c r="F35" t="s">
        <v>90</v>
      </c>
      <c r="G35" t="s">
        <v>91</v>
      </c>
    </row>
    <row r="36" spans="1:7" x14ac:dyDescent="0.25">
      <c r="A36" t="s">
        <v>196</v>
      </c>
      <c r="B36" t="s">
        <v>92</v>
      </c>
      <c r="C36">
        <v>2</v>
      </c>
      <c r="D36" s="1">
        <v>0.34</v>
      </c>
      <c r="E36" s="1">
        <f t="shared" si="2"/>
        <v>0.68</v>
      </c>
      <c r="F36" t="s">
        <v>93</v>
      </c>
      <c r="G36" t="s">
        <v>94</v>
      </c>
    </row>
    <row r="37" spans="1:7" x14ac:dyDescent="0.25">
      <c r="A37" t="s">
        <v>197</v>
      </c>
      <c r="B37" t="s">
        <v>95</v>
      </c>
      <c r="C37">
        <v>1</v>
      </c>
      <c r="D37" s="1">
        <v>0.22</v>
      </c>
      <c r="E37" s="1">
        <f t="shared" si="2"/>
        <v>0.22</v>
      </c>
      <c r="F37" t="s">
        <v>96</v>
      </c>
      <c r="G37" t="s">
        <v>97</v>
      </c>
    </row>
    <row r="38" spans="1:7" x14ac:dyDescent="0.25">
      <c r="A38" s="3" t="s">
        <v>98</v>
      </c>
      <c r="B38" s="3"/>
      <c r="C38" s="3"/>
      <c r="D38" s="3"/>
      <c r="E38" s="4">
        <f>SUM(E29:E37)</f>
        <v>3.3210000000000006</v>
      </c>
      <c r="F38" s="3"/>
      <c r="G38" s="3"/>
    </row>
    <row r="40" spans="1:7" x14ac:dyDescent="0.25">
      <c r="A40" s="9" t="s">
        <v>99</v>
      </c>
      <c r="B40" s="9"/>
      <c r="C40" s="9"/>
      <c r="D40" s="9"/>
      <c r="E40" s="9"/>
      <c r="F40" s="9"/>
      <c r="G40" s="9"/>
    </row>
    <row r="41" spans="1:7" x14ac:dyDescent="0.25">
      <c r="A41" t="s">
        <v>1</v>
      </c>
      <c r="B41" s="2" t="s">
        <v>2</v>
      </c>
      <c r="C41" s="2" t="s">
        <v>3</v>
      </c>
      <c r="D41" s="2" t="s">
        <v>4</v>
      </c>
      <c r="E41" s="2" t="s">
        <v>5</v>
      </c>
      <c r="F41" s="2" t="s">
        <v>6</v>
      </c>
      <c r="G41" s="2" t="s">
        <v>7</v>
      </c>
    </row>
    <row r="42" spans="1:7" x14ac:dyDescent="0.25">
      <c r="A42" t="s">
        <v>198</v>
      </c>
      <c r="B42" t="s">
        <v>100</v>
      </c>
      <c r="C42">
        <v>4</v>
      </c>
      <c r="D42" s="1">
        <v>0.1</v>
      </c>
      <c r="E42" s="1">
        <f t="shared" ref="E42:E66" si="3">D42*C42</f>
        <v>0.4</v>
      </c>
      <c r="F42" t="s">
        <v>101</v>
      </c>
      <c r="G42" t="s">
        <v>102</v>
      </c>
    </row>
    <row r="43" spans="1:7" s="11" customFormat="1" x14ac:dyDescent="0.25">
      <c r="A43" s="11" t="s">
        <v>199</v>
      </c>
      <c r="B43" s="11" t="s">
        <v>103</v>
      </c>
      <c r="C43" s="11">
        <v>2</v>
      </c>
      <c r="D43" s="12">
        <v>0.01</v>
      </c>
      <c r="E43" s="12">
        <f t="shared" si="3"/>
        <v>0.02</v>
      </c>
      <c r="F43" s="11" t="s">
        <v>104</v>
      </c>
      <c r="G43" s="11" t="s">
        <v>105</v>
      </c>
    </row>
    <row r="44" spans="1:7" s="11" customFormat="1" x14ac:dyDescent="0.25">
      <c r="A44" s="11" t="s">
        <v>240</v>
      </c>
      <c r="B44" s="11" t="s">
        <v>106</v>
      </c>
      <c r="C44" s="11">
        <v>2</v>
      </c>
      <c r="D44" s="12">
        <v>0.1</v>
      </c>
      <c r="E44" s="12">
        <f t="shared" si="3"/>
        <v>0.2</v>
      </c>
      <c r="F44" s="11" t="s">
        <v>107</v>
      </c>
      <c r="G44" s="11" t="s">
        <v>108</v>
      </c>
    </row>
    <row r="45" spans="1:7" s="11" customFormat="1" x14ac:dyDescent="0.25">
      <c r="A45" s="11" t="s">
        <v>201</v>
      </c>
      <c r="B45" s="11" t="s">
        <v>109</v>
      </c>
      <c r="C45" s="11">
        <v>14</v>
      </c>
      <c r="D45" s="12">
        <v>2.7E-2</v>
      </c>
      <c r="E45" s="12">
        <f t="shared" si="3"/>
        <v>0.378</v>
      </c>
      <c r="F45" s="11" t="s">
        <v>110</v>
      </c>
      <c r="G45" s="11" t="s">
        <v>111</v>
      </c>
    </row>
    <row r="46" spans="1:7" s="11" customFormat="1" x14ac:dyDescent="0.25">
      <c r="A46" s="11" t="s">
        <v>206</v>
      </c>
      <c r="B46" s="11" t="s">
        <v>112</v>
      </c>
      <c r="C46" s="11">
        <v>7</v>
      </c>
      <c r="D46" s="12">
        <v>0.02</v>
      </c>
      <c r="E46" s="12">
        <f t="shared" si="3"/>
        <v>0.14000000000000001</v>
      </c>
      <c r="F46" s="11" t="s">
        <v>113</v>
      </c>
      <c r="G46" s="11" t="s">
        <v>114</v>
      </c>
    </row>
    <row r="47" spans="1:7" s="11" customFormat="1" x14ac:dyDescent="0.25">
      <c r="A47" s="11" t="s">
        <v>202</v>
      </c>
      <c r="B47" s="11" t="s">
        <v>115</v>
      </c>
      <c r="C47" s="11">
        <v>1</v>
      </c>
      <c r="D47" s="12">
        <v>0.1</v>
      </c>
      <c r="E47" s="12">
        <f t="shared" si="3"/>
        <v>0.1</v>
      </c>
      <c r="F47" s="11" t="s">
        <v>116</v>
      </c>
      <c r="G47" s="11" t="s">
        <v>117</v>
      </c>
    </row>
    <row r="48" spans="1:7" x14ac:dyDescent="0.25">
      <c r="A48" t="s">
        <v>203</v>
      </c>
      <c r="B48" t="s">
        <v>118</v>
      </c>
      <c r="C48">
        <v>1</v>
      </c>
      <c r="D48" s="1">
        <v>0.1</v>
      </c>
      <c r="E48" s="1">
        <f t="shared" si="3"/>
        <v>0.1</v>
      </c>
      <c r="F48" t="s">
        <v>119</v>
      </c>
      <c r="G48" t="s">
        <v>120</v>
      </c>
    </row>
    <row r="49" spans="1:7" x14ac:dyDescent="0.25">
      <c r="A49" t="s">
        <v>204</v>
      </c>
      <c r="B49" t="s">
        <v>121</v>
      </c>
      <c r="C49">
        <v>2</v>
      </c>
      <c r="D49" s="1">
        <v>0.1</v>
      </c>
      <c r="E49" s="1">
        <f t="shared" si="3"/>
        <v>0.2</v>
      </c>
      <c r="F49" t="s">
        <v>122</v>
      </c>
      <c r="G49" t="s">
        <v>123</v>
      </c>
    </row>
    <row r="50" spans="1:7" s="11" customFormat="1" x14ac:dyDescent="0.25">
      <c r="A50" s="11" t="s">
        <v>205</v>
      </c>
      <c r="B50" s="11" t="s">
        <v>125</v>
      </c>
      <c r="C50" s="11">
        <v>1</v>
      </c>
      <c r="D50" s="12">
        <v>0.1</v>
      </c>
      <c r="E50" s="12">
        <f t="shared" si="3"/>
        <v>0.1</v>
      </c>
      <c r="F50" s="11" t="s">
        <v>237</v>
      </c>
      <c r="G50" s="11" t="s">
        <v>127</v>
      </c>
    </row>
    <row r="51" spans="1:7" s="11" customFormat="1" x14ac:dyDescent="0.25">
      <c r="A51" s="11" t="s">
        <v>207</v>
      </c>
      <c r="B51" s="11" t="s">
        <v>128</v>
      </c>
      <c r="C51" s="11">
        <v>3</v>
      </c>
      <c r="D51" s="12">
        <v>0.1</v>
      </c>
      <c r="E51" s="12">
        <f t="shared" si="3"/>
        <v>0.30000000000000004</v>
      </c>
      <c r="F51" s="11" t="s">
        <v>238</v>
      </c>
      <c r="G51" s="11" t="s">
        <v>130</v>
      </c>
    </row>
    <row r="52" spans="1:7" x14ac:dyDescent="0.25">
      <c r="A52" t="s">
        <v>239</v>
      </c>
      <c r="B52" t="s">
        <v>131</v>
      </c>
      <c r="C52">
        <v>5</v>
      </c>
      <c r="D52" s="1">
        <v>0.12</v>
      </c>
      <c r="E52" s="1">
        <f t="shared" si="3"/>
        <v>0.6</v>
      </c>
      <c r="F52" t="s">
        <v>132</v>
      </c>
      <c r="G52" t="s">
        <v>133</v>
      </c>
    </row>
    <row r="53" spans="1:7" x14ac:dyDescent="0.25">
      <c r="A53" t="s">
        <v>209</v>
      </c>
      <c r="B53" t="s">
        <v>135</v>
      </c>
      <c r="C53">
        <v>1</v>
      </c>
      <c r="D53" s="1">
        <v>0.1</v>
      </c>
      <c r="E53" s="1">
        <f t="shared" si="3"/>
        <v>0.1</v>
      </c>
      <c r="F53" t="s">
        <v>136</v>
      </c>
      <c r="G53" t="s">
        <v>137</v>
      </c>
    </row>
    <row r="54" spans="1:7" x14ac:dyDescent="0.25">
      <c r="A54" t="s">
        <v>134</v>
      </c>
      <c r="B54" t="s">
        <v>138</v>
      </c>
      <c r="C54">
        <v>1</v>
      </c>
      <c r="D54" s="1">
        <v>0.1</v>
      </c>
      <c r="E54" s="1">
        <f t="shared" si="3"/>
        <v>0.1</v>
      </c>
      <c r="F54" t="s">
        <v>139</v>
      </c>
      <c r="G54" t="s">
        <v>140</v>
      </c>
    </row>
    <row r="55" spans="1:7" x14ac:dyDescent="0.25">
      <c r="A55" t="s">
        <v>210</v>
      </c>
      <c r="B55" t="s">
        <v>216</v>
      </c>
      <c r="C55">
        <v>1</v>
      </c>
      <c r="D55" s="1">
        <v>0.1</v>
      </c>
      <c r="E55" s="1">
        <f t="shared" si="3"/>
        <v>0.1</v>
      </c>
      <c r="F55" t="s">
        <v>211</v>
      </c>
      <c r="G55" t="s">
        <v>217</v>
      </c>
    </row>
    <row r="56" spans="1:7" x14ac:dyDescent="0.25">
      <c r="A56" t="s">
        <v>212</v>
      </c>
      <c r="B56" t="s">
        <v>218</v>
      </c>
      <c r="C56">
        <v>1</v>
      </c>
      <c r="D56" s="1">
        <v>0.1</v>
      </c>
      <c r="E56" s="1">
        <f t="shared" si="3"/>
        <v>0.1</v>
      </c>
      <c r="F56" t="s">
        <v>213</v>
      </c>
      <c r="G56" t="s">
        <v>219</v>
      </c>
    </row>
    <row r="57" spans="1:7" x14ac:dyDescent="0.25">
      <c r="A57" t="s">
        <v>170</v>
      </c>
      <c r="B57" t="s">
        <v>141</v>
      </c>
      <c r="C57">
        <v>2</v>
      </c>
      <c r="D57" s="1">
        <v>0.11</v>
      </c>
      <c r="E57" s="1">
        <f t="shared" si="3"/>
        <v>0.22</v>
      </c>
      <c r="F57" t="s">
        <v>142</v>
      </c>
      <c r="G57" t="s">
        <v>143</v>
      </c>
    </row>
    <row r="58" spans="1:7" s="11" customFormat="1" x14ac:dyDescent="0.25">
      <c r="A58" s="11" t="s">
        <v>172</v>
      </c>
      <c r="B58" s="11" t="s">
        <v>144</v>
      </c>
      <c r="C58" s="11">
        <v>27</v>
      </c>
      <c r="D58" s="12">
        <v>8.0000000000000002E-3</v>
      </c>
      <c r="E58" s="12">
        <f t="shared" si="3"/>
        <v>0.216</v>
      </c>
      <c r="F58" s="11" t="s">
        <v>145</v>
      </c>
      <c r="G58" s="11" t="s">
        <v>146</v>
      </c>
    </row>
    <row r="59" spans="1:7" x14ac:dyDescent="0.25">
      <c r="A59" t="s">
        <v>175</v>
      </c>
      <c r="B59" t="s">
        <v>147</v>
      </c>
      <c r="C59">
        <v>5</v>
      </c>
      <c r="D59" s="1">
        <v>4.8000000000000001E-2</v>
      </c>
      <c r="E59" s="1">
        <f t="shared" si="3"/>
        <v>0.24</v>
      </c>
      <c r="F59" t="s">
        <v>148</v>
      </c>
      <c r="G59" t="s">
        <v>149</v>
      </c>
    </row>
    <row r="60" spans="1:7" x14ac:dyDescent="0.25">
      <c r="A60" t="s">
        <v>176</v>
      </c>
      <c r="B60" t="s">
        <v>150</v>
      </c>
      <c r="C60">
        <v>2</v>
      </c>
      <c r="D60" s="1">
        <v>3.3000000000000002E-2</v>
      </c>
      <c r="E60" s="1">
        <f t="shared" si="3"/>
        <v>6.6000000000000003E-2</v>
      </c>
      <c r="F60" t="s">
        <v>151</v>
      </c>
      <c r="G60" t="s">
        <v>152</v>
      </c>
    </row>
    <row r="61" spans="1:7" s="11" customFormat="1" x14ac:dyDescent="0.25">
      <c r="A61" s="11" t="s">
        <v>177</v>
      </c>
      <c r="B61" s="11" t="s">
        <v>182</v>
      </c>
      <c r="C61" s="11">
        <v>1</v>
      </c>
      <c r="D61" s="12">
        <v>0.1</v>
      </c>
      <c r="E61" s="12">
        <f t="shared" si="3"/>
        <v>0.1</v>
      </c>
      <c r="F61" s="11" t="s">
        <v>178</v>
      </c>
      <c r="G61" s="11" t="s">
        <v>183</v>
      </c>
    </row>
    <row r="62" spans="1:7" x14ac:dyDescent="0.25">
      <c r="A62" t="s">
        <v>179</v>
      </c>
      <c r="B62" t="s">
        <v>184</v>
      </c>
      <c r="C62">
        <v>1</v>
      </c>
      <c r="D62" s="1">
        <v>0.08</v>
      </c>
      <c r="E62" s="1">
        <f t="shared" si="3"/>
        <v>0.08</v>
      </c>
      <c r="F62" t="s">
        <v>180</v>
      </c>
      <c r="G62" t="s">
        <v>185</v>
      </c>
    </row>
    <row r="63" spans="1:7" x14ac:dyDescent="0.25">
      <c r="A63" t="s">
        <v>181</v>
      </c>
      <c r="B63" t="s">
        <v>186</v>
      </c>
      <c r="C63">
        <v>3</v>
      </c>
      <c r="D63" s="1">
        <v>0.29899999999999999</v>
      </c>
      <c r="E63" s="1">
        <f t="shared" si="3"/>
        <v>0.89700000000000002</v>
      </c>
      <c r="F63" t="s">
        <v>187</v>
      </c>
      <c r="G63" t="s">
        <v>188</v>
      </c>
    </row>
    <row r="64" spans="1:7" x14ac:dyDescent="0.25">
      <c r="A64" t="s">
        <v>173</v>
      </c>
      <c r="B64" t="s">
        <v>153</v>
      </c>
      <c r="C64">
        <v>2</v>
      </c>
      <c r="D64" s="1">
        <v>0.38</v>
      </c>
      <c r="E64" s="1">
        <f t="shared" si="3"/>
        <v>0.76</v>
      </c>
      <c r="F64" t="s">
        <v>154</v>
      </c>
      <c r="G64" t="s">
        <v>155</v>
      </c>
    </row>
    <row r="65" spans="1:7" x14ac:dyDescent="0.25">
      <c r="A65" t="s">
        <v>171</v>
      </c>
      <c r="B65" t="s">
        <v>156</v>
      </c>
      <c r="C65">
        <v>1</v>
      </c>
      <c r="D65" s="1">
        <v>0.11</v>
      </c>
      <c r="E65" s="1">
        <f t="shared" si="3"/>
        <v>0.11</v>
      </c>
      <c r="F65" t="s">
        <v>157</v>
      </c>
      <c r="G65" t="s">
        <v>158</v>
      </c>
    </row>
    <row r="66" spans="1:7" x14ac:dyDescent="0.25">
      <c r="A66" t="s">
        <v>174</v>
      </c>
      <c r="B66" t="s">
        <v>159</v>
      </c>
      <c r="C66">
        <v>1</v>
      </c>
      <c r="D66" s="1">
        <v>0.11</v>
      </c>
      <c r="E66" s="1">
        <f t="shared" si="3"/>
        <v>0.11</v>
      </c>
      <c r="F66" t="s">
        <v>160</v>
      </c>
      <c r="G66" t="s">
        <v>161</v>
      </c>
    </row>
    <row r="67" spans="1:7" x14ac:dyDescent="0.25">
      <c r="A67" s="3" t="s">
        <v>162</v>
      </c>
      <c r="B67" s="3"/>
      <c r="C67" s="3"/>
      <c r="D67" s="3"/>
      <c r="E67" s="4">
        <f>SUM(E42:E66)</f>
        <v>5.737000000000001</v>
      </c>
      <c r="F67" s="3"/>
      <c r="G67" s="3"/>
    </row>
    <row r="68" spans="1:7" x14ac:dyDescent="0.25">
      <c r="A68" s="3"/>
      <c r="B68" s="3"/>
      <c r="C68" s="3"/>
      <c r="D68" s="3"/>
      <c r="E68" s="4"/>
      <c r="F68" s="3"/>
      <c r="G68" s="3"/>
    </row>
    <row r="69" spans="1:7" x14ac:dyDescent="0.25">
      <c r="A69" s="9" t="s">
        <v>163</v>
      </c>
      <c r="B69" s="9"/>
      <c r="C69" s="9"/>
      <c r="D69" s="9"/>
      <c r="E69" s="9"/>
      <c r="F69" s="9"/>
      <c r="G69" s="9"/>
    </row>
    <row r="70" spans="1:7" x14ac:dyDescent="0.25">
      <c r="A70" t="s">
        <v>1</v>
      </c>
      <c r="B70" s="2" t="s">
        <v>2</v>
      </c>
      <c r="C70" s="2" t="s">
        <v>3</v>
      </c>
      <c r="D70" s="2" t="s">
        <v>4</v>
      </c>
      <c r="E70" s="2" t="s">
        <v>5</v>
      </c>
      <c r="F70" s="2" t="s">
        <v>6</v>
      </c>
      <c r="G70" s="2" t="s">
        <v>7</v>
      </c>
    </row>
    <row r="71" spans="1:7" x14ac:dyDescent="0.25">
      <c r="A71" t="s">
        <v>164</v>
      </c>
      <c r="B71" t="s">
        <v>165</v>
      </c>
      <c r="C71">
        <v>1</v>
      </c>
      <c r="D71" s="1">
        <v>7.99</v>
      </c>
      <c r="E71" s="1">
        <f>C71*D71</f>
        <v>7.99</v>
      </c>
      <c r="F71" t="s">
        <v>166</v>
      </c>
      <c r="G71" t="s">
        <v>167</v>
      </c>
    </row>
    <row r="72" spans="1:7" x14ac:dyDescent="0.25">
      <c r="A72" s="3" t="s">
        <v>168</v>
      </c>
      <c r="B72" s="3"/>
      <c r="C72" s="3"/>
      <c r="D72" s="3"/>
      <c r="E72" s="4">
        <f>SUM(E71)</f>
        <v>7.99</v>
      </c>
      <c r="F72" s="3"/>
      <c r="G72" s="3"/>
    </row>
    <row r="75" spans="1:7" x14ac:dyDescent="0.25">
      <c r="A75" s="5" t="s">
        <v>169</v>
      </c>
      <c r="B75" s="5"/>
      <c r="C75" s="5"/>
      <c r="D75" s="5"/>
      <c r="E75" s="6">
        <f>SUM(E12,E26,E38,E67, E72)</f>
        <v>46.768000000000001</v>
      </c>
    </row>
  </sheetData>
  <mergeCells count="5">
    <mergeCell ref="A1:G1"/>
    <mergeCell ref="A14:G14"/>
    <mergeCell ref="A28:G28"/>
    <mergeCell ref="A40:G40"/>
    <mergeCell ref="A69:G69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FBE8-34E4-4586-849B-AC6B23D967B5}">
  <dimension ref="A1:G49"/>
  <sheetViews>
    <sheetView topLeftCell="A10" workbookViewId="0">
      <selection activeCell="C24" sqref="C24"/>
    </sheetView>
  </sheetViews>
  <sheetFormatPr defaultRowHeight="13.2" x14ac:dyDescent="0.25"/>
  <cols>
    <col min="1" max="1" width="12" customWidth="1"/>
    <col min="2" max="2" width="17.5546875" bestFit="1" customWidth="1"/>
    <col min="3" max="3" width="11.6640625" customWidth="1"/>
    <col min="4" max="4" width="10.6640625" customWidth="1"/>
    <col min="5" max="5" width="10.5546875" customWidth="1"/>
    <col min="6" max="6" width="41.21875" bestFit="1" customWidth="1"/>
    <col min="7" max="7" width="13.777343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194</v>
      </c>
      <c r="B2" t="s">
        <v>8</v>
      </c>
      <c r="C2">
        <v>3</v>
      </c>
      <c r="D2" s="1">
        <v>0.37</v>
      </c>
      <c r="E2" s="1">
        <f t="shared" ref="E2:E49" si="0">D2*C2</f>
        <v>1.1099999999999999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>
        <v>1</v>
      </c>
      <c r="D3" s="1">
        <v>0.27</v>
      </c>
      <c r="E3" s="1">
        <f t="shared" si="0"/>
        <v>0.27</v>
      </c>
      <c r="F3" t="s">
        <v>13</v>
      </c>
      <c r="G3" t="s">
        <v>14</v>
      </c>
    </row>
    <row r="4" spans="1:7" x14ac:dyDescent="0.25">
      <c r="A4" t="s">
        <v>195</v>
      </c>
      <c r="B4" t="s">
        <v>15</v>
      </c>
      <c r="C4">
        <v>1</v>
      </c>
      <c r="D4" s="1">
        <v>2.0499999999999998</v>
      </c>
      <c r="E4" s="1">
        <f t="shared" si="0"/>
        <v>2.0499999999999998</v>
      </c>
      <c r="F4" t="s">
        <v>16</v>
      </c>
      <c r="G4" t="s">
        <v>17</v>
      </c>
    </row>
    <row r="5" spans="1:7" x14ac:dyDescent="0.25">
      <c r="A5" t="s">
        <v>18</v>
      </c>
      <c r="B5" t="s">
        <v>19</v>
      </c>
      <c r="C5">
        <v>3</v>
      </c>
      <c r="D5" s="1">
        <v>0.97</v>
      </c>
      <c r="E5" s="1">
        <f t="shared" si="0"/>
        <v>2.91</v>
      </c>
      <c r="F5" s="2" t="s">
        <v>20</v>
      </c>
      <c r="G5" t="s">
        <v>21</v>
      </c>
    </row>
    <row r="6" spans="1:7" x14ac:dyDescent="0.25">
      <c r="A6" t="s">
        <v>18</v>
      </c>
      <c r="B6" t="s">
        <v>22</v>
      </c>
      <c r="C6">
        <v>1</v>
      </c>
      <c r="D6" s="1">
        <v>0.67</v>
      </c>
      <c r="E6" s="1">
        <f t="shared" si="0"/>
        <v>0.67</v>
      </c>
      <c r="F6" t="s">
        <v>23</v>
      </c>
      <c r="G6" t="s">
        <v>24</v>
      </c>
    </row>
    <row r="7" spans="1:7" x14ac:dyDescent="0.25">
      <c r="A7" t="s">
        <v>25</v>
      </c>
      <c r="B7" t="s">
        <v>26</v>
      </c>
      <c r="C7">
        <v>1</v>
      </c>
      <c r="D7" s="1">
        <v>0.51</v>
      </c>
      <c r="E7" s="1">
        <f t="shared" si="0"/>
        <v>0.51</v>
      </c>
      <c r="F7" t="s">
        <v>27</v>
      </c>
      <c r="G7" t="s">
        <v>28</v>
      </c>
    </row>
    <row r="8" spans="1:7" x14ac:dyDescent="0.25">
      <c r="A8" t="s">
        <v>29</v>
      </c>
      <c r="B8" t="s">
        <v>30</v>
      </c>
      <c r="C8">
        <v>1</v>
      </c>
      <c r="D8" s="1">
        <v>3.43</v>
      </c>
      <c r="E8" s="1">
        <f t="shared" si="0"/>
        <v>3.43</v>
      </c>
      <c r="F8" t="s">
        <v>31</v>
      </c>
      <c r="G8" t="s">
        <v>32</v>
      </c>
    </row>
    <row r="9" spans="1:7" x14ac:dyDescent="0.25">
      <c r="A9" t="s">
        <v>46</v>
      </c>
      <c r="B9" t="s">
        <v>47</v>
      </c>
      <c r="C9">
        <v>1</v>
      </c>
      <c r="D9" s="1">
        <v>2.48</v>
      </c>
      <c r="E9" s="1">
        <f t="shared" si="0"/>
        <v>2.48</v>
      </c>
      <c r="F9" t="s">
        <v>48</v>
      </c>
      <c r="G9" t="s">
        <v>49</v>
      </c>
    </row>
    <row r="10" spans="1:7" x14ac:dyDescent="0.25">
      <c r="A10" t="s">
        <v>50</v>
      </c>
      <c r="B10" t="s">
        <v>51</v>
      </c>
      <c r="C10">
        <v>1</v>
      </c>
      <c r="D10" s="1">
        <v>1.85</v>
      </c>
      <c r="E10" s="1">
        <f t="shared" si="0"/>
        <v>1.85</v>
      </c>
      <c r="F10" t="s">
        <v>52</v>
      </c>
      <c r="G10" t="s">
        <v>53</v>
      </c>
    </row>
    <row r="11" spans="1:7" x14ac:dyDescent="0.25">
      <c r="A11" t="s">
        <v>54</v>
      </c>
      <c r="B11" t="s">
        <v>55</v>
      </c>
      <c r="C11">
        <v>1</v>
      </c>
      <c r="D11" s="1">
        <v>1.1000000000000001</v>
      </c>
      <c r="E11" s="1">
        <f t="shared" si="0"/>
        <v>1.1000000000000001</v>
      </c>
      <c r="F11" t="s">
        <v>56</v>
      </c>
      <c r="G11" t="s">
        <v>57</v>
      </c>
    </row>
    <row r="12" spans="1:7" x14ac:dyDescent="0.25">
      <c r="A12" t="s">
        <v>58</v>
      </c>
      <c r="B12" t="s">
        <v>59</v>
      </c>
      <c r="C12">
        <v>2</v>
      </c>
      <c r="D12" s="1">
        <v>2.61</v>
      </c>
      <c r="E12" s="1">
        <f t="shared" si="0"/>
        <v>5.22</v>
      </c>
      <c r="F12" t="s">
        <v>60</v>
      </c>
      <c r="G12" t="s">
        <v>61</v>
      </c>
    </row>
    <row r="13" spans="1:7" x14ac:dyDescent="0.25">
      <c r="A13" t="s">
        <v>62</v>
      </c>
      <c r="B13" t="s">
        <v>230</v>
      </c>
      <c r="C13">
        <v>1</v>
      </c>
      <c r="D13" s="1">
        <v>0.35</v>
      </c>
      <c r="E13" s="1">
        <f t="shared" si="0"/>
        <v>0.35</v>
      </c>
      <c r="F13" t="s">
        <v>236</v>
      </c>
      <c r="G13" t="s">
        <v>231</v>
      </c>
    </row>
    <row r="14" spans="1:7" x14ac:dyDescent="0.25">
      <c r="A14" t="s">
        <v>190</v>
      </c>
      <c r="B14" t="s">
        <v>69</v>
      </c>
      <c r="C14">
        <v>2</v>
      </c>
      <c r="D14" s="1">
        <v>0.2</v>
      </c>
      <c r="E14" s="1">
        <f t="shared" si="0"/>
        <v>0.4</v>
      </c>
      <c r="F14" t="s">
        <v>70</v>
      </c>
      <c r="G14" t="s">
        <v>71</v>
      </c>
    </row>
    <row r="15" spans="1:7" x14ac:dyDescent="0.25">
      <c r="A15" t="s">
        <v>189</v>
      </c>
      <c r="B15" t="s">
        <v>72</v>
      </c>
      <c r="C15">
        <v>7</v>
      </c>
      <c r="D15" s="1">
        <v>8.3000000000000004E-2</v>
      </c>
      <c r="E15" s="1">
        <f t="shared" si="0"/>
        <v>0.58100000000000007</v>
      </c>
      <c r="F15" t="s">
        <v>73</v>
      </c>
      <c r="G15" t="s">
        <v>74</v>
      </c>
    </row>
    <row r="16" spans="1:7" x14ac:dyDescent="0.25">
      <c r="A16" t="s">
        <v>81</v>
      </c>
      <c r="B16" t="s">
        <v>75</v>
      </c>
      <c r="C16">
        <v>1</v>
      </c>
      <c r="D16" s="1">
        <v>0.15</v>
      </c>
      <c r="E16" s="1">
        <f t="shared" si="0"/>
        <v>0.15</v>
      </c>
      <c r="F16" t="s">
        <v>76</v>
      </c>
      <c r="G16" t="s">
        <v>77</v>
      </c>
    </row>
    <row r="17" spans="1:7" x14ac:dyDescent="0.25">
      <c r="A17" t="s">
        <v>192</v>
      </c>
      <c r="B17" t="s">
        <v>78</v>
      </c>
      <c r="C17">
        <v>3</v>
      </c>
      <c r="D17" s="1">
        <v>0.16</v>
      </c>
      <c r="E17" s="1">
        <f t="shared" si="0"/>
        <v>0.48</v>
      </c>
      <c r="F17" t="s">
        <v>79</v>
      </c>
      <c r="G17" t="s">
        <v>80</v>
      </c>
    </row>
    <row r="18" spans="1:7" x14ac:dyDescent="0.25">
      <c r="A18" t="s">
        <v>191</v>
      </c>
      <c r="B18" t="s">
        <v>82</v>
      </c>
      <c r="C18">
        <v>1</v>
      </c>
      <c r="D18" s="1">
        <v>0.13</v>
      </c>
      <c r="E18" s="1">
        <f t="shared" si="0"/>
        <v>0.13</v>
      </c>
      <c r="F18" t="s">
        <v>83</v>
      </c>
      <c r="G18" t="s">
        <v>84</v>
      </c>
    </row>
    <row r="19" spans="1:7" x14ac:dyDescent="0.25">
      <c r="A19" s="2" t="s">
        <v>193</v>
      </c>
      <c r="B19" s="2" t="s">
        <v>85</v>
      </c>
      <c r="C19" s="2">
        <v>1</v>
      </c>
      <c r="D19" s="1">
        <v>0.14000000000000001</v>
      </c>
      <c r="E19" s="1">
        <f t="shared" si="0"/>
        <v>0.14000000000000001</v>
      </c>
      <c r="F19" s="2" t="s">
        <v>86</v>
      </c>
      <c r="G19" s="2" t="s">
        <v>87</v>
      </c>
    </row>
    <row r="20" spans="1:7" x14ac:dyDescent="0.25">
      <c r="A20" t="s">
        <v>88</v>
      </c>
      <c r="B20" s="2" t="s">
        <v>89</v>
      </c>
      <c r="C20">
        <v>1</v>
      </c>
      <c r="D20" s="1">
        <v>0.54</v>
      </c>
      <c r="E20" s="1">
        <f t="shared" si="0"/>
        <v>0.54</v>
      </c>
      <c r="F20" t="s">
        <v>90</v>
      </c>
      <c r="G20" t="s">
        <v>91</v>
      </c>
    </row>
    <row r="21" spans="1:7" x14ac:dyDescent="0.25">
      <c r="A21" t="s">
        <v>196</v>
      </c>
      <c r="B21" t="s">
        <v>92</v>
      </c>
      <c r="C21">
        <v>2</v>
      </c>
      <c r="D21" s="1">
        <v>0.34</v>
      </c>
      <c r="E21" s="1">
        <f t="shared" si="0"/>
        <v>0.68</v>
      </c>
      <c r="F21" t="s">
        <v>93</v>
      </c>
      <c r="G21" t="s">
        <v>94</v>
      </c>
    </row>
    <row r="22" spans="1:7" x14ac:dyDescent="0.25">
      <c r="A22" t="s">
        <v>197</v>
      </c>
      <c r="B22" t="s">
        <v>95</v>
      </c>
      <c r="C22">
        <v>1</v>
      </c>
      <c r="D22" s="1">
        <v>0.22</v>
      </c>
      <c r="E22" s="1">
        <f t="shared" si="0"/>
        <v>0.22</v>
      </c>
      <c r="F22" t="s">
        <v>96</v>
      </c>
      <c r="G22" t="s">
        <v>97</v>
      </c>
    </row>
    <row r="23" spans="1:7" x14ac:dyDescent="0.25">
      <c r="A23" t="s">
        <v>198</v>
      </c>
      <c r="B23" t="s">
        <v>100</v>
      </c>
      <c r="C23">
        <v>4</v>
      </c>
      <c r="D23" s="1">
        <v>0.1</v>
      </c>
      <c r="E23" s="1">
        <f t="shared" si="0"/>
        <v>0.4</v>
      </c>
      <c r="F23" t="s">
        <v>101</v>
      </c>
      <c r="G23" t="s">
        <v>102</v>
      </c>
    </row>
    <row r="24" spans="1:7" x14ac:dyDescent="0.25">
      <c r="A24" t="s">
        <v>199</v>
      </c>
      <c r="B24" t="s">
        <v>103</v>
      </c>
      <c r="C24">
        <v>2</v>
      </c>
      <c r="D24" s="1">
        <v>0.01</v>
      </c>
      <c r="E24" s="1">
        <f t="shared" si="0"/>
        <v>0.02</v>
      </c>
      <c r="F24" t="s">
        <v>104</v>
      </c>
      <c r="G24" t="s">
        <v>105</v>
      </c>
    </row>
    <row r="25" spans="1:7" x14ac:dyDescent="0.25">
      <c r="A25" t="s">
        <v>200</v>
      </c>
      <c r="B25" t="s">
        <v>106</v>
      </c>
      <c r="C25">
        <v>1</v>
      </c>
      <c r="D25" s="1">
        <v>0.1</v>
      </c>
      <c r="E25" s="1">
        <f t="shared" si="0"/>
        <v>0.1</v>
      </c>
      <c r="F25" t="s">
        <v>107</v>
      </c>
      <c r="G25" t="s">
        <v>108</v>
      </c>
    </row>
    <row r="26" spans="1:7" x14ac:dyDescent="0.25">
      <c r="A26" t="s">
        <v>201</v>
      </c>
      <c r="B26" t="s">
        <v>109</v>
      </c>
      <c r="C26">
        <v>14</v>
      </c>
      <c r="D26" s="1">
        <v>2.7E-2</v>
      </c>
      <c r="E26" s="1">
        <f t="shared" si="0"/>
        <v>0.378</v>
      </c>
      <c r="F26" t="s">
        <v>110</v>
      </c>
      <c r="G26" t="s">
        <v>111</v>
      </c>
    </row>
    <row r="27" spans="1:7" x14ac:dyDescent="0.25">
      <c r="A27" t="s">
        <v>206</v>
      </c>
      <c r="B27" t="s">
        <v>112</v>
      </c>
      <c r="C27">
        <v>7</v>
      </c>
      <c r="D27" s="1">
        <v>0.02</v>
      </c>
      <c r="E27" s="1">
        <f t="shared" si="0"/>
        <v>0.14000000000000001</v>
      </c>
      <c r="F27" t="s">
        <v>113</v>
      </c>
      <c r="G27" t="s">
        <v>114</v>
      </c>
    </row>
    <row r="28" spans="1:7" x14ac:dyDescent="0.25">
      <c r="A28" t="s">
        <v>202</v>
      </c>
      <c r="B28" t="s">
        <v>115</v>
      </c>
      <c r="C28">
        <v>1</v>
      </c>
      <c r="D28" s="1">
        <v>0.1</v>
      </c>
      <c r="E28" s="1">
        <f t="shared" si="0"/>
        <v>0.1</v>
      </c>
      <c r="F28" t="s">
        <v>116</v>
      </c>
      <c r="G28" t="s">
        <v>117</v>
      </c>
    </row>
    <row r="29" spans="1:7" x14ac:dyDescent="0.25">
      <c r="A29" t="s">
        <v>203</v>
      </c>
      <c r="B29" t="s">
        <v>118</v>
      </c>
      <c r="C29">
        <v>1</v>
      </c>
      <c r="D29" s="1">
        <v>0.1</v>
      </c>
      <c r="E29" s="1">
        <f t="shared" si="0"/>
        <v>0.1</v>
      </c>
      <c r="F29" t="s">
        <v>119</v>
      </c>
      <c r="G29" t="s">
        <v>120</v>
      </c>
    </row>
    <row r="30" spans="1:7" x14ac:dyDescent="0.25">
      <c r="A30" t="s">
        <v>204</v>
      </c>
      <c r="B30" t="s">
        <v>121</v>
      </c>
      <c r="C30">
        <v>2</v>
      </c>
      <c r="D30" s="1">
        <v>0.1</v>
      </c>
      <c r="E30" s="1">
        <f t="shared" si="0"/>
        <v>0.2</v>
      </c>
      <c r="F30" t="s">
        <v>122</v>
      </c>
      <c r="G30" t="s">
        <v>123</v>
      </c>
    </row>
    <row r="31" spans="1:7" x14ac:dyDescent="0.25">
      <c r="A31" t="s">
        <v>205</v>
      </c>
      <c r="B31" t="s">
        <v>125</v>
      </c>
      <c r="C31">
        <v>1</v>
      </c>
      <c r="D31" s="1">
        <v>0.1</v>
      </c>
      <c r="E31" s="1">
        <f t="shared" si="0"/>
        <v>0.1</v>
      </c>
      <c r="F31" t="s">
        <v>126</v>
      </c>
      <c r="G31" t="s">
        <v>127</v>
      </c>
    </row>
    <row r="32" spans="1:7" x14ac:dyDescent="0.25">
      <c r="A32" t="s">
        <v>207</v>
      </c>
      <c r="B32" t="s">
        <v>128</v>
      </c>
      <c r="C32">
        <v>3</v>
      </c>
      <c r="D32" s="1">
        <v>0.1</v>
      </c>
      <c r="E32" s="1">
        <f t="shared" si="0"/>
        <v>0.30000000000000004</v>
      </c>
      <c r="F32" t="s">
        <v>129</v>
      </c>
      <c r="G32" t="s">
        <v>130</v>
      </c>
    </row>
    <row r="33" spans="1:7" x14ac:dyDescent="0.25">
      <c r="A33" t="s">
        <v>208</v>
      </c>
      <c r="B33" t="s">
        <v>131</v>
      </c>
      <c r="C33">
        <v>3</v>
      </c>
      <c r="D33" s="1">
        <v>0.12</v>
      </c>
      <c r="E33" s="1">
        <f t="shared" si="0"/>
        <v>0.36</v>
      </c>
      <c r="F33" t="s">
        <v>132</v>
      </c>
      <c r="G33" t="s">
        <v>133</v>
      </c>
    </row>
    <row r="34" spans="1:7" x14ac:dyDescent="0.25">
      <c r="A34" t="s">
        <v>209</v>
      </c>
      <c r="B34" t="s">
        <v>135</v>
      </c>
      <c r="C34">
        <v>1</v>
      </c>
      <c r="D34" s="1">
        <v>0.1</v>
      </c>
      <c r="E34" s="1">
        <f t="shared" si="0"/>
        <v>0.1</v>
      </c>
      <c r="F34" t="s">
        <v>136</v>
      </c>
      <c r="G34" t="s">
        <v>137</v>
      </c>
    </row>
    <row r="35" spans="1:7" x14ac:dyDescent="0.25">
      <c r="A35" t="s">
        <v>134</v>
      </c>
      <c r="B35" t="s">
        <v>138</v>
      </c>
      <c r="C35">
        <v>1</v>
      </c>
      <c r="D35" s="1">
        <v>0.1</v>
      </c>
      <c r="E35" s="1">
        <f t="shared" si="0"/>
        <v>0.1</v>
      </c>
      <c r="F35" t="s">
        <v>139</v>
      </c>
      <c r="G35" t="s">
        <v>140</v>
      </c>
    </row>
    <row r="36" spans="1:7" x14ac:dyDescent="0.25">
      <c r="A36" t="s">
        <v>210</v>
      </c>
      <c r="B36" t="s">
        <v>216</v>
      </c>
      <c r="C36">
        <v>1</v>
      </c>
      <c r="D36" s="1">
        <v>0.1</v>
      </c>
      <c r="E36" s="1">
        <f t="shared" si="0"/>
        <v>0.1</v>
      </c>
      <c r="F36" t="s">
        <v>211</v>
      </c>
      <c r="G36" t="s">
        <v>217</v>
      </c>
    </row>
    <row r="37" spans="1:7" x14ac:dyDescent="0.25">
      <c r="A37" t="s">
        <v>212</v>
      </c>
      <c r="B37" t="s">
        <v>218</v>
      </c>
      <c r="C37">
        <v>1</v>
      </c>
      <c r="D37" s="1">
        <v>0.1</v>
      </c>
      <c r="E37" s="1">
        <f t="shared" si="0"/>
        <v>0.1</v>
      </c>
      <c r="F37" t="s">
        <v>213</v>
      </c>
      <c r="G37" t="s">
        <v>219</v>
      </c>
    </row>
    <row r="38" spans="1:7" x14ac:dyDescent="0.25">
      <c r="A38" t="s">
        <v>214</v>
      </c>
      <c r="B38" t="s">
        <v>220</v>
      </c>
      <c r="C38">
        <v>2</v>
      </c>
      <c r="D38" s="1">
        <v>0.1</v>
      </c>
      <c r="E38" s="1">
        <f t="shared" si="0"/>
        <v>0.2</v>
      </c>
      <c r="F38" t="s">
        <v>215</v>
      </c>
      <c r="G38" t="s">
        <v>224</v>
      </c>
    </row>
    <row r="39" spans="1:7" x14ac:dyDescent="0.25">
      <c r="A39" t="s">
        <v>124</v>
      </c>
      <c r="B39" t="s">
        <v>222</v>
      </c>
      <c r="C39">
        <v>1</v>
      </c>
      <c r="D39" s="1">
        <v>0.1</v>
      </c>
      <c r="E39" s="1">
        <f t="shared" si="0"/>
        <v>0.1</v>
      </c>
      <c r="F39" t="s">
        <v>221</v>
      </c>
      <c r="G39" t="s">
        <v>223</v>
      </c>
    </row>
    <row r="40" spans="1:7" x14ac:dyDescent="0.25">
      <c r="A40" t="s">
        <v>170</v>
      </c>
      <c r="B40" t="s">
        <v>141</v>
      </c>
      <c r="C40">
        <v>2</v>
      </c>
      <c r="D40" s="1">
        <v>0.11</v>
      </c>
      <c r="E40" s="1">
        <f t="shared" si="0"/>
        <v>0.22</v>
      </c>
      <c r="F40" t="s">
        <v>142</v>
      </c>
      <c r="G40" t="s">
        <v>143</v>
      </c>
    </row>
    <row r="41" spans="1:7" x14ac:dyDescent="0.25">
      <c r="A41" t="s">
        <v>172</v>
      </c>
      <c r="B41" t="s">
        <v>144</v>
      </c>
      <c r="C41">
        <v>27</v>
      </c>
      <c r="D41" s="1">
        <v>8.0000000000000002E-3</v>
      </c>
      <c r="E41" s="1">
        <f t="shared" si="0"/>
        <v>0.216</v>
      </c>
      <c r="F41" t="s">
        <v>145</v>
      </c>
      <c r="G41" t="s">
        <v>146</v>
      </c>
    </row>
    <row r="42" spans="1:7" x14ac:dyDescent="0.25">
      <c r="A42" t="s">
        <v>175</v>
      </c>
      <c r="B42" t="s">
        <v>147</v>
      </c>
      <c r="C42">
        <v>5</v>
      </c>
      <c r="D42" s="1">
        <v>4.8000000000000001E-2</v>
      </c>
      <c r="E42" s="1">
        <f t="shared" si="0"/>
        <v>0.24</v>
      </c>
      <c r="F42" t="s">
        <v>148</v>
      </c>
      <c r="G42" t="s">
        <v>149</v>
      </c>
    </row>
    <row r="43" spans="1:7" x14ac:dyDescent="0.25">
      <c r="A43" t="s">
        <v>176</v>
      </c>
      <c r="B43" t="s">
        <v>150</v>
      </c>
      <c r="C43">
        <v>2</v>
      </c>
      <c r="D43" s="1">
        <v>3.3000000000000002E-2</v>
      </c>
      <c r="E43" s="1">
        <f t="shared" si="0"/>
        <v>6.6000000000000003E-2</v>
      </c>
      <c r="F43" t="s">
        <v>151</v>
      </c>
      <c r="G43" t="s">
        <v>152</v>
      </c>
    </row>
    <row r="44" spans="1:7" x14ac:dyDescent="0.25">
      <c r="A44" t="s">
        <v>177</v>
      </c>
      <c r="B44" t="s">
        <v>182</v>
      </c>
      <c r="C44">
        <v>1</v>
      </c>
      <c r="D44" s="1">
        <v>0.1</v>
      </c>
      <c r="E44" s="1">
        <f t="shared" si="0"/>
        <v>0.1</v>
      </c>
      <c r="F44" t="s">
        <v>178</v>
      </c>
      <c r="G44" t="s">
        <v>183</v>
      </c>
    </row>
    <row r="45" spans="1:7" x14ac:dyDescent="0.25">
      <c r="A45" t="s">
        <v>179</v>
      </c>
      <c r="B45" t="s">
        <v>184</v>
      </c>
      <c r="C45">
        <v>1</v>
      </c>
      <c r="D45" s="1">
        <v>0.08</v>
      </c>
      <c r="E45" s="1">
        <f t="shared" si="0"/>
        <v>0.08</v>
      </c>
      <c r="F45" t="s">
        <v>180</v>
      </c>
      <c r="G45" t="s">
        <v>185</v>
      </c>
    </row>
    <row r="46" spans="1:7" x14ac:dyDescent="0.25">
      <c r="A46" t="s">
        <v>181</v>
      </c>
      <c r="B46" t="s">
        <v>186</v>
      </c>
      <c r="C46">
        <v>3</v>
      </c>
      <c r="D46" s="1">
        <v>0.29899999999999999</v>
      </c>
      <c r="E46" s="1">
        <f t="shared" si="0"/>
        <v>0.89700000000000002</v>
      </c>
      <c r="F46" t="s">
        <v>187</v>
      </c>
      <c r="G46" t="s">
        <v>188</v>
      </c>
    </row>
    <row r="47" spans="1:7" x14ac:dyDescent="0.25">
      <c r="A47" t="s">
        <v>173</v>
      </c>
      <c r="B47" t="s">
        <v>153</v>
      </c>
      <c r="C47">
        <v>2</v>
      </c>
      <c r="D47" s="1">
        <v>0.38</v>
      </c>
      <c r="E47" s="1">
        <f t="shared" si="0"/>
        <v>0.76</v>
      </c>
      <c r="F47" t="s">
        <v>154</v>
      </c>
      <c r="G47" t="s">
        <v>155</v>
      </c>
    </row>
    <row r="48" spans="1:7" x14ac:dyDescent="0.25">
      <c r="A48" t="s">
        <v>171</v>
      </c>
      <c r="B48" t="s">
        <v>156</v>
      </c>
      <c r="C48">
        <v>1</v>
      </c>
      <c r="D48" s="1">
        <v>0.11</v>
      </c>
      <c r="E48" s="1">
        <f t="shared" si="0"/>
        <v>0.11</v>
      </c>
      <c r="F48" t="s">
        <v>157</v>
      </c>
      <c r="G48" t="s">
        <v>158</v>
      </c>
    </row>
    <row r="49" spans="1:7" x14ac:dyDescent="0.25">
      <c r="A49" t="s">
        <v>174</v>
      </c>
      <c r="B49" t="s">
        <v>159</v>
      </c>
      <c r="C49">
        <v>1</v>
      </c>
      <c r="D49" s="1">
        <v>0.11</v>
      </c>
      <c r="E49" s="1">
        <f t="shared" si="0"/>
        <v>0.11</v>
      </c>
      <c r="F49" t="s">
        <v>160</v>
      </c>
      <c r="G49" t="s">
        <v>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Purchasing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Sharp, Matthew Gregory</cp:lastModifiedBy>
  <cp:revision>5</cp:revision>
  <dcterms:created xsi:type="dcterms:W3CDTF">2025-08-21T11:56:57Z</dcterms:created>
  <dcterms:modified xsi:type="dcterms:W3CDTF">2025-09-16T04:20:28Z</dcterms:modified>
  <dc:language>en-US</dc:language>
</cp:coreProperties>
</file>