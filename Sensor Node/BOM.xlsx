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har\Documents\capstone\Sensor Node\"/>
    </mc:Choice>
  </mc:AlternateContent>
  <xr:revisionPtr revIDLastSave="0" documentId="13_ncr:1_{19CBA019-542B-495F-8FF5-D71D8D686EC5}" xr6:coauthVersionLast="47" xr6:coauthVersionMax="47" xr10:uidLastSave="{00000000-0000-0000-0000-000000000000}"/>
  <bookViews>
    <workbookView xWindow="-23148" yWindow="-108" windowWidth="23256" windowHeight="13896" xr2:uid="{2B5D9235-DF46-44CC-9AF7-8674BD6918E2}"/>
  </bookViews>
  <sheets>
    <sheet name="Sensor Node 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G8" i="1"/>
  <c r="D8" i="1"/>
</calcChain>
</file>

<file path=xl/sharedStrings.xml><?xml version="1.0" encoding="utf-8"?>
<sst xmlns="http://schemas.openxmlformats.org/spreadsheetml/2006/main" count="32" uniqueCount="32">
  <si>
    <t>Component</t>
  </si>
  <si>
    <t>Unit Cost</t>
  </si>
  <si>
    <t>Description</t>
  </si>
  <si>
    <t>Justification</t>
  </si>
  <si>
    <t>Qty / Board</t>
  </si>
  <si>
    <t>Cost / Board</t>
  </si>
  <si>
    <t>Digikey/Mouser Link</t>
  </si>
  <si>
    <t>ATTiny85V-10SU</t>
  </si>
  <si>
    <t>MCU</t>
  </si>
  <si>
    <t>Low Power Consumption, Wide Input Voltage Range, Rugged, Reliable, wide operating 
temperature range, inexpensive, with low supply chain and lifecycle product risk</t>
  </si>
  <si>
    <t>https://www.digikey.com/en/products/detail/microchip-technology/ATTINY85V-10SU/735472</t>
  </si>
  <si>
    <t>TMUX1309A</t>
  </si>
  <si>
    <t>Bidirectional SP4T Switch</t>
  </si>
  <si>
    <t>Use to switch between UART and i2c bus. Low Power Consumption, Automotive Grade</t>
  </si>
  <si>
    <t>https://www.digikey.com/en/products/detail/texas-instruments/TMUX1309AQPWRQ1/24708518?utm_source=ecia&amp;utm_medium=aggregator&amp;utm_campaign=buynow</t>
  </si>
  <si>
    <t>MCP3428-E/SL</t>
  </si>
  <si>
    <t>4 channel 16 bit ADC with I2C interface</t>
  </si>
  <si>
    <t>Differential inputs, 4 channels in 1 chip. I2C interface</t>
  </si>
  <si>
    <t>https://www.digikey.com/en/products/detail/microchip-technology/MCP3428-E-SL/2179226?utm_source=ecia&amp;utm_medium=aggregator&amp;utm_campaign=buynow</t>
  </si>
  <si>
    <t>TPL0102</t>
  </si>
  <si>
    <t>2-channel 256-tap digital pot</t>
  </si>
  <si>
    <t>Used for digital calibration of gain for amplifiers and offset voltage. I2C interface. Defense grade</t>
  </si>
  <si>
    <t>https://www.digikey.com/en/products/detail/texas-instruments/TPL0102-100QPWREP/4895619</t>
  </si>
  <si>
    <t>TPIC2810</t>
  </si>
  <si>
    <t>8-bit I2C Shift Register</t>
  </si>
  <si>
    <t>Used to turn on/off sensors and other ICs for power savings during sensor node idling</t>
  </si>
  <si>
    <t>https://www.digikey.com/en/products/detail/texas-instruments/TPIC2810D/509926?utm_source=ecia&amp;utm_medium=aggregator&amp;utm_campaign=buynow</t>
  </si>
  <si>
    <t>https://www.digikey.com/en/products/detail/texas-instruments/LMV324AQDRQ1/13173997?utm_source=ecia&amp;utm_medium=aggregator&amp;utm_campaign=buynow</t>
  </si>
  <si>
    <t>LMV324AQDRQ1</t>
  </si>
  <si>
    <t>Quad Rail-to-Rail Op-Amp</t>
  </si>
  <si>
    <t>Automotive Grade, 2.5-5.5V input, rail to rail output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</si>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</sst>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1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</dxf>
    <dxf>
      <numFmt numFmtId="164" formatCode="&quot;$&quot;#,##0.00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73595-3523-4F11-B95A-2C9AAFEA86C0}" name="Table1" displayName="Table1" ref="A1:G8" totalsRowCount="1">
  <autoFilter ref="A1:G7" xr:uid="{BAD73595-3523-4F11-B95A-2C9AAFEA86C0}"/>
  <tableColumns count="7">
    <tableColumn id="1" xr3:uid="{E6AD86BC-1D0E-41E3-B7BF-9BFD11CA8F70}" name="Component" totalsRowLabel="Total"/>
    <tableColumn id="2" xr3:uid="{0B3DEA95-3799-4815-B6D3-501376047351}" name="Qty / Board"/>
    <tableColumn id="3" xr3:uid="{92CC6D39-0B80-4C73-A24D-86289487C583}" name="Unit Cost" dataDxfId="3"/>
    <tableColumn id="4" xr3:uid="{92E50F5A-DD50-4F40-9BAC-64B931B8E45F}" name="Cost / Board" totalsRowFunction="custom" dataDxfId="2" totalsRowDxfId="1">
      <calculatedColumnFormula>SUM(Table1[[#This Row],[Qty / Board]]*Table1[[#This Row],[Unit Cost]])</calculatedColumnFormula>
      <totalsRowFormula>SUM(Table1[Cost / Board])</totalsRowFormula>
    </tableColumn>
    <tableColumn id="5" xr3:uid="{7CB7DADD-75A4-4839-B129-2879A88C4B0F}" name="Description"/>
    <tableColumn id="6" xr3:uid="{F2C2A0B7-51A8-4EDE-9B90-7E27FD439B3C}" name="Justification"/>
    <tableColumn id="7" xr3:uid="{1630CAB7-0997-4C0B-A6BC-3078206F42AB}" name="Digikey/Mouser Link" totalsRowFunction="count" totalsRow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microchip-technology/MCP3428-E-SL/2179226?utm_source=ecia&amp;utm_medium=aggregator&amp;utm_campaign=buynow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digikey.com/en/products/detail/texas-instruments/TMUX1309AQPWRQ1/24708518?utm_source=ecia&amp;utm_medium=aggregator&amp;utm_campaign=buynow" TargetMode="External"/><Relationship Id="rId1" Type="http://schemas.openxmlformats.org/officeDocument/2006/relationships/hyperlink" Target="https://www.digikey.com/en/products/detail/microchip-technology/ATTINY85V-10SU/735472" TargetMode="External"/><Relationship Id="rId6" Type="http://schemas.openxmlformats.org/officeDocument/2006/relationships/hyperlink" Target="https://www.digikey.com/en/products/detail/texas-instruments/LMV324AQDRQ1/13173997?utm_source=ecia&amp;utm_medium=aggregator&amp;utm_campaign=buynow" TargetMode="External"/><Relationship Id="rId5" Type="http://schemas.openxmlformats.org/officeDocument/2006/relationships/hyperlink" Target="https://www.digikey.com/en/products/detail/texas-instruments/TPIC2810D/509926?utm_source=ecia&amp;utm_medium=aggregator&amp;utm_campaign=buynow" TargetMode="External"/><Relationship Id="rId4" Type="http://schemas.openxmlformats.org/officeDocument/2006/relationships/hyperlink" Target="https://www.digikey.com/en/products/detail/texas-instruments/TPL0102-100QPWREP/48956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0B68-BD39-46D8-8B64-57BBAA09E5C8}">
  <dimension ref="A1:G8"/>
  <sheetViews>
    <sheetView tabSelected="1" topLeftCell="G1" workbookViewId="0">
      <selection activeCell="G13" sqref="G13"/>
    </sheetView>
  </sheetViews>
  <sheetFormatPr defaultRowHeight="15" x14ac:dyDescent="0.25"/>
  <cols>
    <col min="1" max="1" width="15" bestFit="1" customWidth="1"/>
    <col min="2" max="2" width="13" customWidth="1"/>
    <col min="3" max="3" width="11.5703125" customWidth="1"/>
    <col min="4" max="4" width="14.140625" customWidth="1"/>
    <col min="5" max="5" width="35" customWidth="1"/>
    <col min="6" max="6" width="86.85546875" bestFit="1" customWidth="1"/>
    <col min="7" max="7" width="150.42578125" bestFit="1" customWidth="1"/>
  </cols>
  <sheetData>
    <row r="1" spans="1:7" x14ac:dyDescent="0.25">
      <c r="A1" t="s">
        <v>0</v>
      </c>
      <c r="B1" t="s">
        <v>4</v>
      </c>
      <c r="C1" t="s">
        <v>1</v>
      </c>
      <c r="D1" t="s">
        <v>5</v>
      </c>
      <c r="E1" t="s">
        <v>2</v>
      </c>
      <c r="F1" t="s">
        <v>3</v>
      </c>
      <c r="G1" t="s">
        <v>6</v>
      </c>
    </row>
    <row r="2" spans="1:7" ht="37.5" customHeight="1" x14ac:dyDescent="0.25">
      <c r="A2" t="s">
        <v>7</v>
      </c>
      <c r="B2">
        <v>1</v>
      </c>
      <c r="C2" s="1">
        <v>1.5</v>
      </c>
      <c r="D2" s="1">
        <f>SUM(Table1[[#This Row],[Qty / Board]]*Table1[[#This Row],[Unit Cost]])</f>
        <v>1.5</v>
      </c>
      <c r="E2" t="s">
        <v>8</v>
      </c>
      <c r="F2" s="2" t="s">
        <v>9</v>
      </c>
      <c r="G2" s="3" t="s">
        <v>10</v>
      </c>
    </row>
    <row r="3" spans="1:7" x14ac:dyDescent="0.25">
      <c r="A3" t="s">
        <v>11</v>
      </c>
      <c r="B3">
        <v>1</v>
      </c>
      <c r="C3" s="1">
        <v>0.32</v>
      </c>
      <c r="D3" s="1">
        <f>SUM(Table1[[#This Row],[Qty / Board]]*Table1[[#This Row],[Unit Cost]])</f>
        <v>0.32</v>
      </c>
      <c r="E3" t="s">
        <v>12</v>
      </c>
      <c r="F3" t="s">
        <v>13</v>
      </c>
      <c r="G3" s="3" t="s">
        <v>14</v>
      </c>
    </row>
    <row r="4" spans="1:7" x14ac:dyDescent="0.25">
      <c r="A4" t="s">
        <v>15</v>
      </c>
      <c r="B4">
        <v>1</v>
      </c>
      <c r="C4" s="1">
        <v>4.63</v>
      </c>
      <c r="D4" s="1">
        <f>SUM(Table1[[#This Row],[Qty / Board]]*Table1[[#This Row],[Unit Cost]])</f>
        <v>4.63</v>
      </c>
      <c r="E4" t="s">
        <v>16</v>
      </c>
      <c r="F4" t="s">
        <v>17</v>
      </c>
      <c r="G4" s="3" t="s">
        <v>18</v>
      </c>
    </row>
    <row r="5" spans="1:7" x14ac:dyDescent="0.25">
      <c r="A5" t="s">
        <v>19</v>
      </c>
      <c r="B5">
        <v>2</v>
      </c>
      <c r="C5" s="1">
        <v>4.95</v>
      </c>
      <c r="D5" s="1">
        <f>SUM(Table1[[#This Row],[Qty / Board]]*Table1[[#This Row],[Unit Cost]])</f>
        <v>9.9</v>
      </c>
      <c r="E5" t="s">
        <v>20</v>
      </c>
      <c r="F5" t="s">
        <v>21</v>
      </c>
      <c r="G5" s="3" t="s">
        <v>22</v>
      </c>
    </row>
    <row r="6" spans="1:7" x14ac:dyDescent="0.25">
      <c r="A6" t="s">
        <v>23</v>
      </c>
      <c r="B6">
        <v>1</v>
      </c>
      <c r="C6" s="1">
        <v>1.94</v>
      </c>
      <c r="D6" s="1">
        <f>SUM(Table1[[#This Row],[Qty / Board]]*Table1[[#This Row],[Unit Cost]])</f>
        <v>1.94</v>
      </c>
      <c r="E6" t="s">
        <v>24</v>
      </c>
      <c r="F6" t="s">
        <v>25</v>
      </c>
      <c r="G6" s="3" t="s">
        <v>26</v>
      </c>
    </row>
    <row r="7" spans="1:7" x14ac:dyDescent="0.25">
      <c r="A7" t="s">
        <v>28</v>
      </c>
      <c r="B7">
        <v>3</v>
      </c>
      <c r="C7" s="1">
        <v>0.96</v>
      </c>
      <c r="D7" s="1">
        <f>SUM(Table1[[#This Row],[Qty / Board]]*Table1[[#This Row],[Unit Cost]])</f>
        <v>2.88</v>
      </c>
      <c r="E7" t="s">
        <v>29</v>
      </c>
      <c r="F7" t="s">
        <v>30</v>
      </c>
      <c r="G7" s="3" t="s">
        <v>27</v>
      </c>
    </row>
    <row r="8" spans="1:7" x14ac:dyDescent="0.25">
      <c r="A8" t="s">
        <v>31</v>
      </c>
      <c r="D8" s="1">
        <f>SUM(Table1[Cost / Board])</f>
        <v>21.17</v>
      </c>
      <c r="G8" s="4">
        <f>SUBTOTAL(103,Table1[Digikey/Mouser Link])</f>
        <v>6</v>
      </c>
    </row>
  </sheetData>
  <hyperlinks>
    <hyperlink ref="G2" r:id="rId1" xr:uid="{ECCC6DE4-40CE-44BB-BD30-05B7E8194638}"/>
    <hyperlink ref="G3" r:id="rId2" xr:uid="{8545D53D-91E6-4151-8CE7-2F88918A7AA2}"/>
    <hyperlink ref="G4" r:id="rId3" xr:uid="{E6B53EA5-9DEE-4DF3-9D7C-0BE0B2C37942}"/>
    <hyperlink ref="G5" r:id="rId4" xr:uid="{2363017A-9EF4-42D4-87DE-A142AB8F66F8}"/>
    <hyperlink ref="G6" r:id="rId5" xr:uid="{407DF3C1-2251-4F14-ABB9-B4BF0B4DBF93}"/>
    <hyperlink ref="G7" r:id="rId6" xr:uid="{1DBAB327-3681-4BCA-87AF-774C3D0331D4}"/>
  </hyperlinks>
  <pageMargins left="0.7" right="0.7" top="0.75" bottom="0.75" header="0.3" footer="0.3"/>
  <tableParts count="1"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E8BFEDA6594A468EA1F6222AF3A40C" ma:contentTypeVersion="11" ma:contentTypeDescription="Create a new document." ma:contentTypeScope="" ma:versionID="0b5f9d627e3b9aa3727afb9d1817b3a2">
  <xsd:schema xmlns:xsd="http://www.w3.org/2001/XMLSchema" xmlns:xs="http://www.w3.org/2001/XMLSchema" xmlns:p="http://schemas.microsoft.com/office/2006/metadata/properties" xmlns:ns3="1cd51a1f-bf7d-4364-9278-31fd522647f4" targetNamespace="http://schemas.microsoft.com/office/2006/metadata/properties" ma:root="true" ma:fieldsID="09ee344dd7f662911a4beb0faf021c6b" ns3:_="">
    <xsd:import namespace="1cd51a1f-bf7d-4364-9278-31fd522647f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d51a1f-bf7d-4364-9278-31fd522647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cd51a1f-bf7d-4364-9278-31fd522647f4" xsi:nil="true"/>
  </documentManagement>
</p:properties>
</file>

<file path=customXml/itemProps1.xml><?xml version="1.0" encoding="utf-8"?>
<ds:datastoreItem xmlns:ds="http://schemas.openxmlformats.org/officeDocument/2006/customXml" ds:itemID="{8D3DC6A4-6C4B-454A-8872-252D0CA1F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d51a1f-bf7d-4364-9278-31fd522647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9EE3F9-2BAC-4C02-9158-3F77C694C7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7D594B-0A95-4722-B9FE-01DFBF087969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  <ds:schemaRef ds:uri="1cd51a1f-bf7d-4364-9278-31fd522647f4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 Node 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Sharp, Matthew Gregory</dc:creator>
  <cp:lastModifiedBy>Sharp, Matthew Gregory</cp:lastModifiedBy>
  <dcterms:created xsi:type="dcterms:W3CDTF">2025-05-01T00:10:50Z</dcterms:created>
  <dcterms:modified xsi:type="dcterms:W3CDTF">2025-05-03T05:05:57Z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0x0101005AE8BFEDA6594A468EA1F6222AF3A40C</vt:lpwstr>
  </property>
</Properties>
</file>